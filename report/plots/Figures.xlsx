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pivotCache/pivotCacheDefinition1.xml" ContentType="application/vnd.openxmlformats-officedocument.spreadsheetml.pivotCacheDefinition+xml"/>
  <Override PartName="/xl/pivotCache/pivotCacheRecords1.xml" ContentType="application/vnd.openxmlformats-officedocument.spreadsheetml.pivotCacheRecords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pivotTables/pivotTable1.xml" ContentType="application/vnd.openxmlformats-officedocument.spreadsheetml.pivotTable+xml"/>
  <Override PartName="/xl/pivotTables/pivotTable2.xml" ContentType="application/vnd.openxmlformats-officedocument.spreadsheetml.pivotTable+xml"/>
  <Override PartName="/xl/pivotTables/pivotTable3.xml" ContentType="application/vnd.openxmlformats-officedocument.spreadsheetml.pivotTable+xml"/>
  <Override PartName="/xl/drawings/drawing1.xml" ContentType="application/vnd.openxmlformats-officedocument.drawing+xml"/>
  <Override PartName="/xl/charts/chartEx1.xml" ContentType="application/vnd.ms-office.chartex+xml"/>
  <Override PartName="/xl/charts/style1.xml" ContentType="application/vnd.ms-office.chartstyle+xml"/>
  <Override PartName="/xl/charts/colors1.xml" ContentType="application/vnd.ms-office.chartcolorstyle+xml"/>
  <Override PartName="/xl/charts/chart1.xml" ContentType="application/vnd.openxmlformats-officedocument.drawingml.chart+xml"/>
  <Override PartName="/xl/charts/style2.xml" ContentType="application/vnd.ms-office.chartstyle+xml"/>
  <Override PartName="/xl/charts/colors2.xml" ContentType="application/vnd.ms-office.chartcolorstyle+xml"/>
  <Override PartName="/xl/charts/chart2.xml" ContentType="application/vnd.openxmlformats-officedocument.drawingml.chart+xml"/>
  <Override PartName="/xl/charts/style3.xml" ContentType="application/vnd.ms-office.chartstyle+xml"/>
  <Override PartName="/xl/charts/colors3.xml" ContentType="application/vnd.ms-office.chartcolorstyle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131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nikhi\Downloads\"/>
    </mc:Choice>
  </mc:AlternateContent>
  <xr:revisionPtr revIDLastSave="0" documentId="13_ncr:9_{88375FD7-DBEA-4F94-BFEF-DDB24ABA9EFE}" xr6:coauthVersionLast="47" xr6:coauthVersionMax="47" xr10:uidLastSave="{00000000-0000-0000-0000-000000000000}"/>
  <bookViews>
    <workbookView xWindow="-108" yWindow="-108" windowWidth="23256" windowHeight="12456" activeTab="3" xr2:uid="{80FB1094-8B55-40F9-937A-7B973C62ACAB}"/>
  </bookViews>
  <sheets>
    <sheet name="parse" sheetId="1" r:id="rId1"/>
    <sheet name="Without" sheetId="3" r:id="rId2"/>
    <sheet name="Tools" sheetId="2" r:id="rId3"/>
    <sheet name="Figures" sheetId="4" r:id="rId4"/>
  </sheets>
  <definedNames>
    <definedName name="_xlnm._FilterDatabase" localSheetId="0" hidden="1">parse!$A$1:$Q$101</definedName>
    <definedName name="_xlnm._FilterDatabase" localSheetId="2" hidden="1">Tools!$A$1:$Q$1</definedName>
    <definedName name="_xlchart.v2.0" hidden="1">Figures!$B$26:$B$30</definedName>
    <definedName name="_xlchart.v2.1" hidden="1">Figures!$C$26:$C$30</definedName>
    <definedName name="_xlchart.v2.2" hidden="1">Figures!$B$26:$B$30</definedName>
    <definedName name="_xlchart.v2.3" hidden="1">Figures!$C$26:$C$30</definedName>
  </definedNames>
  <calcPr calcId="0"/>
  <pivotCaches>
    <pivotCache cacheId="43" r:id="rId5"/>
  </pivotCaches>
</workbook>
</file>

<file path=xl/calcChain.xml><?xml version="1.0" encoding="utf-8"?>
<calcChain xmlns="http://schemas.openxmlformats.org/spreadsheetml/2006/main">
  <c r="T21" i="4" l="1"/>
  <c r="S21" i="4"/>
  <c r="R21" i="4"/>
  <c r="Q21" i="4"/>
  <c r="G22" i="4"/>
  <c r="G21" i="4"/>
  <c r="G20" i="4"/>
  <c r="G19" i="4"/>
  <c r="G18" i="4"/>
  <c r="G17" i="4"/>
  <c r="E22" i="4"/>
  <c r="E21" i="4"/>
  <c r="E20" i="4"/>
  <c r="E19" i="4"/>
  <c r="E18" i="4"/>
  <c r="E17" i="4"/>
</calcChain>
</file>

<file path=xl/sharedStrings.xml><?xml version="1.0" encoding="utf-8"?>
<sst xmlns="http://schemas.openxmlformats.org/spreadsheetml/2006/main" count="428" uniqueCount="67">
  <si>
    <t>sent_id</t>
  </si>
  <si>
    <t>language</t>
  </si>
  <si>
    <t>n_words</t>
  </si>
  <si>
    <t>n_correct</t>
  </si>
  <si>
    <t>uas</t>
  </si>
  <si>
    <t>original_projective</t>
  </si>
  <si>
    <t>parsed_successfully</t>
  </si>
  <si>
    <t>has_valid_tree_structure</t>
  </si>
  <si>
    <t>with_tools</t>
  </si>
  <si>
    <t>n_tool_calls</t>
  </si>
  <si>
    <t>lookup_morphology</t>
  </si>
  <si>
    <t>retrieve_similar_sentences</t>
  </si>
  <si>
    <t>retrieve_similar_sentences_bow</t>
  </si>
  <si>
    <t>validate_dependency_tree</t>
  </si>
  <si>
    <t>n_generated_tokens</t>
  </si>
  <si>
    <t>n_tool_result_tokens</t>
  </si>
  <si>
    <t>GUM_essay_system-41</t>
  </si>
  <si>
    <t>eng</t>
  </si>
  <si>
    <t>GUM_textbook_chemistry-48</t>
  </si>
  <si>
    <t>GUM_essay_fear-29</t>
  </si>
  <si>
    <t>GUM_letter_attorney-42</t>
  </si>
  <si>
    <t>GUM_speech_newzealand-23</t>
  </si>
  <si>
    <t>GUM_bio_jespersen-37</t>
  </si>
  <si>
    <t>GUM_essay_system-6</t>
  </si>
  <si>
    <t>GUM_conversation_retirement-82</t>
  </si>
  <si>
    <t>GUM_textbook_union-50</t>
  </si>
  <si>
    <t>GUM_voyage_oakland-34</t>
  </si>
  <si>
    <t>LSDC_0138_DWF_201X_OWL_lipsk_werner-zahn_kÃ¼r-mol-wedder-lippisch-platt_die-klassenfahrt</t>
  </si>
  <si>
    <t>nds</t>
  </si>
  <si>
    <t>LSDC_0207_DNS_1921_HAM_hamborg_de_rode_unnerrock</t>
  </si>
  <si>
    <t>LSDC_0045_DWF_1882_westfalen_bielefeld_-_in_der_spinnstuaben_bi_der_aulen_marigge_un_janhiarm_11</t>
  </si>
  <si>
    <t>LSDC_0236_NWF_20XX_ACH_achterhook_sprookjen</t>
  </si>
  <si>
    <t>LSDC_0410_NWF_20XX_ACH_achterhooksk_lange-afstands-romantiek</t>
  </si>
  <si>
    <t>LSDC_0032_DNS_1882_OFR_oustfreesland_bater_is_bater</t>
  </si>
  <si>
    <t>LSDC_0179_DWF_1931_OWL_ravensberg_heinrich-stolte_ravensberg_der-bauernhof-um-1870</t>
  </si>
  <si>
    <t>LSDC_0090_OFL_1846_bronswik_smelzkop_-_ower_de_kunst_jesunt_te_sin</t>
  </si>
  <si>
    <t>LSDC_0382_NWF_20XX_ACH_achterhooksk_lange-afstands-romantiek</t>
  </si>
  <si>
    <t>LSDC_0156_DWF_1933_OWL_ravensbergsk_heinrich-stolte_das-neue-testament</t>
  </si>
  <si>
    <t>nan</t>
  </si>
  <si>
    <t>mar</t>
  </si>
  <si>
    <t>text-s180</t>
  </si>
  <si>
    <t>vie</t>
  </si>
  <si>
    <t>text-s329</t>
  </si>
  <si>
    <t>text-s349</t>
  </si>
  <si>
    <t>text-s33</t>
  </si>
  <si>
    <t>text-s72</t>
  </si>
  <si>
    <t>text-s396</t>
  </si>
  <si>
    <t>test-s1604</t>
  </si>
  <si>
    <t>text-s355</t>
  </si>
  <si>
    <t>text-s332</t>
  </si>
  <si>
    <t>text-s508</t>
  </si>
  <si>
    <t>Row Labels</t>
  </si>
  <si>
    <t>Grand Total</t>
  </si>
  <si>
    <t>Average of uas</t>
  </si>
  <si>
    <t>FALSE</t>
  </si>
  <si>
    <t>TRUE</t>
  </si>
  <si>
    <t>Average of n_tool_calls</t>
  </si>
  <si>
    <t>Average of uas with Tools</t>
  </si>
  <si>
    <t>Average of uas without Tools</t>
  </si>
  <si>
    <t>Average of lookup_morphology</t>
  </si>
  <si>
    <t>Average of retrieve_similar_sentences</t>
  </si>
  <si>
    <t>Average of retrieve_similar_sentences_bow</t>
  </si>
  <si>
    <t>Average of validate_dependency_tree</t>
  </si>
  <si>
    <t xml:space="preserve"> lookup_morphology</t>
  </si>
  <si>
    <t xml:space="preserve"> retrieve_similar_sentences</t>
  </si>
  <si>
    <t xml:space="preserve"> retrieve_similar_sentences_bow</t>
  </si>
  <si>
    <t xml:space="preserve"> validate_dependency_tree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</si>
</sst>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8" x14ac:knownFonts="1"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sz val="18"/>
      <color theme="3"/>
      <name val="Aptos Display"/>
      <family val="2"/>
      <scheme val="major"/>
    </font>
    <font>
      <b/>
      <sz val="15"/>
      <color theme="3"/>
      <name val="Aptos Narrow"/>
      <family val="2"/>
      <scheme val="minor"/>
    </font>
    <font>
      <b/>
      <sz val="13"/>
      <color theme="3"/>
      <name val="Aptos Narrow"/>
      <family val="2"/>
      <scheme val="minor"/>
    </font>
    <font>
      <b/>
      <sz val="11"/>
      <color theme="3"/>
      <name val="Aptos Narrow"/>
      <family val="2"/>
      <scheme val="minor"/>
    </font>
    <font>
      <sz val="11"/>
      <color rgb="FF006100"/>
      <name val="Aptos Narrow"/>
      <family val="2"/>
      <scheme val="minor"/>
    </font>
    <font>
      <sz val="11"/>
      <color rgb="FF9C0006"/>
      <name val="Aptos Narrow"/>
      <family val="2"/>
      <scheme val="minor"/>
    </font>
    <font>
      <sz val="11"/>
      <color rgb="FF9C5700"/>
      <name val="Aptos Narrow"/>
      <family val="2"/>
      <scheme val="minor"/>
    </font>
    <font>
      <sz val="11"/>
      <color rgb="FF3F3F76"/>
      <name val="Aptos Narrow"/>
      <family val="2"/>
      <scheme val="minor"/>
    </font>
    <font>
      <b/>
      <sz val="11"/>
      <color rgb="FF3F3F3F"/>
      <name val="Aptos Narrow"/>
      <family val="2"/>
      <scheme val="minor"/>
    </font>
    <font>
      <b/>
      <sz val="11"/>
      <color rgb="FFFA7D00"/>
      <name val="Aptos Narrow"/>
      <family val="2"/>
      <scheme val="minor"/>
    </font>
    <font>
      <sz val="11"/>
      <color rgb="FFFA7D00"/>
      <name val="Aptos Narrow"/>
      <family val="2"/>
      <scheme val="minor"/>
    </font>
    <font>
      <b/>
      <sz val="11"/>
      <color theme="0"/>
      <name val="Aptos Narrow"/>
      <family val="2"/>
      <scheme val="minor"/>
    </font>
    <font>
      <sz val="11"/>
      <color rgb="FFFF0000"/>
      <name val="Aptos Narrow"/>
      <family val="2"/>
      <scheme val="minor"/>
    </font>
    <font>
      <i/>
      <sz val="11"/>
      <color rgb="FF7F7F7F"/>
      <name val="Aptos Narrow"/>
      <family val="2"/>
      <scheme val="minor"/>
    </font>
    <font>
      <b/>
      <sz val="11"/>
      <color theme="1"/>
      <name val="Aptos Narrow"/>
      <family val="2"/>
      <scheme val="minor"/>
    </font>
    <font>
      <sz val="11"/>
      <color theme="0"/>
      <name val="Aptos Narrow"/>
      <family val="2"/>
      <scheme val="minor"/>
    </font>
  </fonts>
  <fills count="34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theme="4" tint="0.79998168889431442"/>
        <bgColor theme="4" tint="0.79998168889431442"/>
      </patternFill>
    </fill>
  </fills>
  <borders count="12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/>
      <right/>
      <top/>
      <bottom style="thin">
        <color theme="4" tint="0.39997558519241921"/>
      </bottom>
      <diagonal/>
    </border>
    <border>
      <left/>
      <right/>
      <top style="thin">
        <color theme="4" tint="0.39997558519241921"/>
      </top>
      <bottom/>
      <diagonal/>
    </border>
  </borders>
  <cellStyleXfs count="43">
    <xf numFmtId="0" fontId="0" fillId="0" borderId="0"/>
    <xf numFmtId="9" fontId="1" fillId="0" borderId="0" applyFont="0" applyFill="0" applyBorder="0" applyAlignment="0" applyProtection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</cellStyleXfs>
  <cellXfs count="9">
    <xf numFmtId="0" fontId="0" fillId="0" borderId="0" xfId="0"/>
    <xf numFmtId="0" fontId="16" fillId="0" borderId="0" xfId="0" applyFont="1"/>
    <xf numFmtId="0" fontId="0" fillId="0" borderId="0" xfId="0" pivotButton="1"/>
    <xf numFmtId="0" fontId="0" fillId="0" borderId="0" xfId="0" applyAlignment="1">
      <alignment horizontal="left"/>
    </xf>
    <xf numFmtId="0" fontId="16" fillId="33" borderId="10" xfId="0" applyFont="1" applyFill="1" applyBorder="1"/>
    <xf numFmtId="0" fontId="0" fillId="0" borderId="0" xfId="0" applyNumberFormat="1"/>
    <xf numFmtId="0" fontId="16" fillId="33" borderId="11" xfId="0" applyFont="1" applyFill="1" applyBorder="1" applyAlignment="1">
      <alignment horizontal="left"/>
    </xf>
    <xf numFmtId="0" fontId="16" fillId="33" borderId="11" xfId="0" applyNumberFormat="1" applyFont="1" applyFill="1" applyBorder="1"/>
    <xf numFmtId="9" fontId="0" fillId="0" borderId="0" xfId="1" applyFont="1"/>
  </cellXfs>
  <cellStyles count="43">
    <cellStyle name="20% - Accent1" xfId="20" builtinId="30" customBuiltin="1"/>
    <cellStyle name="20% - Accent2" xfId="24" builtinId="34" customBuiltin="1"/>
    <cellStyle name="20% - Accent3" xfId="28" builtinId="38" customBuiltin="1"/>
    <cellStyle name="20% - Accent4" xfId="32" builtinId="42" customBuiltin="1"/>
    <cellStyle name="20% - Accent5" xfId="36" builtinId="46" customBuiltin="1"/>
    <cellStyle name="20% - Accent6" xfId="40" builtinId="50" customBuiltin="1"/>
    <cellStyle name="40% - Accent1" xfId="21" builtinId="31" customBuiltin="1"/>
    <cellStyle name="40% - Accent2" xfId="25" builtinId="35" customBuiltin="1"/>
    <cellStyle name="40% - Accent3" xfId="29" builtinId="39" customBuiltin="1"/>
    <cellStyle name="40% - Accent4" xfId="33" builtinId="43" customBuiltin="1"/>
    <cellStyle name="40% - Accent5" xfId="37" builtinId="47" customBuiltin="1"/>
    <cellStyle name="40% - Accent6" xfId="41" builtinId="51" customBuiltin="1"/>
    <cellStyle name="60% - Accent1" xfId="22" builtinId="32" customBuiltin="1"/>
    <cellStyle name="60% - Accent2" xfId="26" builtinId="36" customBuiltin="1"/>
    <cellStyle name="60% - Accent3" xfId="30" builtinId="40" customBuiltin="1"/>
    <cellStyle name="60% - Accent4" xfId="34" builtinId="44" customBuiltin="1"/>
    <cellStyle name="60% - Accent5" xfId="38" builtinId="48" customBuiltin="1"/>
    <cellStyle name="60% - Accent6" xfId="42" builtinId="52" customBuiltin="1"/>
    <cellStyle name="Accent1" xfId="19" builtinId="29" customBuiltin="1"/>
    <cellStyle name="Accent2" xfId="23" builtinId="33" customBuiltin="1"/>
    <cellStyle name="Accent3" xfId="27" builtinId="37" customBuiltin="1"/>
    <cellStyle name="Accent4" xfId="31" builtinId="41" customBuiltin="1"/>
    <cellStyle name="Accent5" xfId="35" builtinId="45" customBuiltin="1"/>
    <cellStyle name="Accent6" xfId="39" builtinId="49" customBuiltin="1"/>
    <cellStyle name="Bad" xfId="8" builtinId="27" customBuiltin="1"/>
    <cellStyle name="Calculation" xfId="12" builtinId="22" customBuiltin="1"/>
    <cellStyle name="Check Cell" xfId="14" builtinId="23" customBuiltin="1"/>
    <cellStyle name="Explanatory Text" xfId="17" builtinId="53" customBuiltin="1"/>
    <cellStyle name="Good" xfId="7" builtinId="26" customBuiltin="1"/>
    <cellStyle name="Heading 1" xfId="3" builtinId="16" customBuiltin="1"/>
    <cellStyle name="Heading 2" xfId="4" builtinId="17" customBuiltin="1"/>
    <cellStyle name="Heading 3" xfId="5" builtinId="18" customBuiltin="1"/>
    <cellStyle name="Heading 4" xfId="6" builtinId="19" customBuiltin="1"/>
    <cellStyle name="Input" xfId="10" builtinId="20" customBuiltin="1"/>
    <cellStyle name="Linked Cell" xfId="13" builtinId="24" customBuiltin="1"/>
    <cellStyle name="Neutral" xfId="9" builtinId="28" customBuiltin="1"/>
    <cellStyle name="Normal" xfId="0" builtinId="0"/>
    <cellStyle name="Note" xfId="16" builtinId="10" customBuiltin="1"/>
    <cellStyle name="Output" xfId="11" builtinId="21" customBuiltin="1"/>
    <cellStyle name="Percent" xfId="1" builtinId="5"/>
    <cellStyle name="Title" xfId="2" builtinId="15" customBuiltin="1"/>
    <cellStyle name="Total" xfId="18" builtinId="25" customBuiltin="1"/>
    <cellStyle name="Warning Text" xfId="15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haredStrings" Target="sharedStrings.xml"/><Relationship Id="rId3" Type="http://schemas.openxmlformats.org/officeDocument/2006/relationships/worksheet" Target="worksheets/sheet3.xml"/><Relationship Id="rId7" Type="http://schemas.openxmlformats.org/officeDocument/2006/relationships/styles" Target="style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theme" Target="theme/theme1.xml"/><Relationship Id="rId5" Type="http://schemas.openxmlformats.org/officeDocument/2006/relationships/pivotCacheDefinition" Target="pivotCache/pivotCacheDefinition1.xml"/><Relationship Id="rId4" Type="http://schemas.openxmlformats.org/officeDocument/2006/relationships/worksheet" Target="worksheets/sheet4.xml"/><Relationship Id="rId9" Type="http://schemas.openxmlformats.org/officeDocument/2006/relationships/calcChain" Target="calcChain.xml"/></Relationships>
</file>

<file path=xl/charts/_rels/chart1.xml.rels><?xml version="1.0" encoding="UTF-8" standalone="yes"?>
<Relationships xmlns="http://schemas.openxmlformats.org/package/2006/relationships"><Relationship Id="rId2" Type="http://schemas.microsoft.com/office/2011/relationships/chartColorStyle" Target="colors2.xml"/><Relationship Id="rId1" Type="http://schemas.microsoft.com/office/2011/relationships/chartStyle" Target="style2.xml"/></Relationships>
</file>

<file path=xl/charts/_rels/chart2.xml.rels><?xml version="1.0" encoding="UTF-8" standalone="yes"?>
<Relationships xmlns="http://schemas.openxmlformats.org/package/2006/relationships"><Relationship Id="rId2" Type="http://schemas.microsoft.com/office/2011/relationships/chartColorStyle" Target="colors3.xml"/><Relationship Id="rId1" Type="http://schemas.microsoft.com/office/2011/relationships/chartStyle" Target="style3.xml"/></Relationships>
</file>

<file path=xl/charts/_rels/chartEx1.xml.rels><?xml version="1.0" encoding="UTF-8" standalone="yes"?>
<Relationships xmlns="http://schemas.openxmlformats.org/package/2006/relationships"><Relationship Id="rId2" Type="http://schemas.microsoft.com/office/2011/relationships/chartColorStyle" Target="colors1.xml"/><Relationship Id="rId1" Type="http://schemas.microsoft.com/office/2011/relationships/chartStyle" Target="style1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IN"/>
              <a:t>Average</a:t>
            </a:r>
            <a:r>
              <a:rPr lang="en-IN" baseline="0"/>
              <a:t> UAS</a:t>
            </a:r>
            <a:endParaRPr lang="en-IN"/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barChart>
        <c:barDir val="col"/>
        <c:grouping val="clustered"/>
        <c:varyColors val="0"/>
        <c:ser>
          <c:idx val="0"/>
          <c:order val="0"/>
          <c:tx>
            <c:strRef>
              <c:f>Figures!$C$16</c:f>
              <c:strCache>
                <c:ptCount val="1"/>
                <c:pt idx="0">
                  <c:v>Average of uas with Tools</c:v>
                </c:pt>
              </c:strCache>
            </c:strRef>
          </c:tx>
          <c:spPr>
            <a:solidFill>
              <a:schemeClr val="accent1"/>
            </a:solidFill>
            <a:ln>
              <a:noFill/>
            </a:ln>
            <a:effectLst/>
          </c:spPr>
          <c:invertIfNegative val="0"/>
          <c:cat>
            <c:strRef>
              <c:f>Figures!$B$17:$B$21</c:f>
              <c:strCache>
                <c:ptCount val="5"/>
                <c:pt idx="0">
                  <c:v>mar</c:v>
                </c:pt>
                <c:pt idx="1">
                  <c:v>eng</c:v>
                </c:pt>
                <c:pt idx="2">
                  <c:v>nan</c:v>
                </c:pt>
                <c:pt idx="3">
                  <c:v>nds</c:v>
                </c:pt>
                <c:pt idx="4">
                  <c:v>vie</c:v>
                </c:pt>
              </c:strCache>
            </c:strRef>
          </c:cat>
          <c:val>
            <c:numRef>
              <c:f>Figures!$C$17:$C$21</c:f>
              <c:numCache>
                <c:formatCode>General</c:formatCode>
                <c:ptCount val="5"/>
                <c:pt idx="0">
                  <c:v>0.55694444444444413</c:v>
                </c:pt>
                <c:pt idx="1">
                  <c:v>0.33552784204099956</c:v>
                </c:pt>
                <c:pt idx="2">
                  <c:v>0.68166666666666653</c:v>
                </c:pt>
                <c:pt idx="3">
                  <c:v>0.31266608391608364</c:v>
                </c:pt>
                <c:pt idx="4">
                  <c:v>0.54988239807932859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7990-43A4-8150-EDC155078E4C}"/>
            </c:ext>
          </c:extLst>
        </c:ser>
        <c:ser>
          <c:idx val="1"/>
          <c:order val="1"/>
          <c:tx>
            <c:strRef>
              <c:f>Figures!$D$16</c:f>
              <c:strCache>
                <c:ptCount val="1"/>
                <c:pt idx="0">
                  <c:v>Average of uas without Tools</c:v>
                </c:pt>
              </c:strCache>
            </c:strRef>
          </c:tx>
          <c:spPr>
            <a:solidFill>
              <a:schemeClr val="tx2">
                <a:lumMod val="25000"/>
                <a:lumOff val="75000"/>
              </a:schemeClr>
            </a:solidFill>
            <a:ln>
              <a:noFill/>
            </a:ln>
            <a:effectLst/>
          </c:spPr>
          <c:invertIfNegative val="0"/>
          <c:cat>
            <c:strRef>
              <c:f>Figures!$B$17:$B$21</c:f>
              <c:strCache>
                <c:ptCount val="5"/>
                <c:pt idx="0">
                  <c:v>mar</c:v>
                </c:pt>
                <c:pt idx="1">
                  <c:v>eng</c:v>
                </c:pt>
                <c:pt idx="2">
                  <c:v>nan</c:v>
                </c:pt>
                <c:pt idx="3">
                  <c:v>nds</c:v>
                </c:pt>
                <c:pt idx="4">
                  <c:v>vie</c:v>
                </c:pt>
              </c:strCache>
            </c:strRef>
          </c:cat>
          <c:val>
            <c:numRef>
              <c:f>Figures!$D$17:$D$21</c:f>
              <c:numCache>
                <c:formatCode>General</c:formatCode>
                <c:ptCount val="5"/>
                <c:pt idx="0">
                  <c:v>0.55416666666666647</c:v>
                </c:pt>
                <c:pt idx="1">
                  <c:v>0.18819267720583482</c:v>
                </c:pt>
                <c:pt idx="2">
                  <c:v>0.78333333333333321</c:v>
                </c:pt>
                <c:pt idx="3">
                  <c:v>0.22816247158638428</c:v>
                </c:pt>
                <c:pt idx="4">
                  <c:v>0.52350693637138623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1-7990-43A4-8150-EDC155078E4C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219"/>
        <c:overlap val="-27"/>
        <c:axId val="1335706864"/>
        <c:axId val="1262312848"/>
      </c:barChart>
      <c:catAx>
        <c:axId val="1335706864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262312848"/>
        <c:crosses val="autoZero"/>
        <c:auto val="1"/>
        <c:lblAlgn val="ctr"/>
        <c:lblOffset val="100"/>
        <c:noMultiLvlLbl val="0"/>
      </c:catAx>
      <c:valAx>
        <c:axId val="1262312848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335706864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IN"/>
              <a:t>Average</a:t>
            </a:r>
            <a:r>
              <a:rPr lang="en-IN" baseline="0"/>
              <a:t> number of Tools called</a:t>
            </a:r>
            <a:endParaRPr lang="en-IN"/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barChart>
        <c:barDir val="col"/>
        <c:grouping val="stacked"/>
        <c:varyColors val="0"/>
        <c:ser>
          <c:idx val="0"/>
          <c:order val="0"/>
          <c:tx>
            <c:strRef>
              <c:f>Figures!$Q$15</c:f>
              <c:strCache>
                <c:ptCount val="1"/>
                <c:pt idx="0">
                  <c:v> lookup_morphology</c:v>
                </c:pt>
              </c:strCache>
            </c:strRef>
          </c:tx>
          <c:spPr>
            <a:solidFill>
              <a:schemeClr val="accent1"/>
            </a:solidFill>
            <a:ln>
              <a:noFill/>
            </a:ln>
            <a:effectLst/>
          </c:spPr>
          <c:invertIfNegative val="0"/>
          <c:cat>
            <c:strRef>
              <c:f>Figures!$P$16:$P$20</c:f>
              <c:strCache>
                <c:ptCount val="5"/>
                <c:pt idx="0">
                  <c:v>mar</c:v>
                </c:pt>
                <c:pt idx="1">
                  <c:v>eng</c:v>
                </c:pt>
                <c:pt idx="2">
                  <c:v>nan</c:v>
                </c:pt>
                <c:pt idx="3">
                  <c:v>nds</c:v>
                </c:pt>
                <c:pt idx="4">
                  <c:v>vie</c:v>
                </c:pt>
              </c:strCache>
            </c:strRef>
          </c:cat>
          <c:val>
            <c:numRef>
              <c:f>Figures!$Q$16:$Q$20</c:f>
              <c:numCache>
                <c:formatCode>General</c:formatCode>
                <c:ptCount val="5"/>
                <c:pt idx="0">
                  <c:v>0.9</c:v>
                </c:pt>
                <c:pt idx="1">
                  <c:v>0.1</c:v>
                </c:pt>
                <c:pt idx="2">
                  <c:v>0.9</c:v>
                </c:pt>
                <c:pt idx="3">
                  <c:v>0.7</c:v>
                </c:pt>
                <c:pt idx="4">
                  <c:v>0.5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6173-4E12-8037-0568FDD660EA}"/>
            </c:ext>
          </c:extLst>
        </c:ser>
        <c:ser>
          <c:idx val="1"/>
          <c:order val="1"/>
          <c:tx>
            <c:strRef>
              <c:f>Figures!$R$15</c:f>
              <c:strCache>
                <c:ptCount val="1"/>
                <c:pt idx="0">
                  <c:v> retrieve_similar_sentences</c:v>
                </c:pt>
              </c:strCache>
            </c:strRef>
          </c:tx>
          <c:spPr>
            <a:solidFill>
              <a:schemeClr val="bg2">
                <a:lumMod val="10000"/>
              </a:schemeClr>
            </a:solidFill>
            <a:ln>
              <a:noFill/>
            </a:ln>
            <a:effectLst/>
          </c:spPr>
          <c:invertIfNegative val="0"/>
          <c:cat>
            <c:strRef>
              <c:f>Figures!$P$16:$P$20</c:f>
              <c:strCache>
                <c:ptCount val="5"/>
                <c:pt idx="0">
                  <c:v>mar</c:v>
                </c:pt>
                <c:pt idx="1">
                  <c:v>eng</c:v>
                </c:pt>
                <c:pt idx="2">
                  <c:v>nan</c:v>
                </c:pt>
                <c:pt idx="3">
                  <c:v>nds</c:v>
                </c:pt>
                <c:pt idx="4">
                  <c:v>vie</c:v>
                </c:pt>
              </c:strCache>
            </c:strRef>
          </c:cat>
          <c:val>
            <c:numRef>
              <c:f>Figures!$R$16:$R$20</c:f>
              <c:numCache>
                <c:formatCode>General</c:formatCode>
                <c:ptCount val="5"/>
                <c:pt idx="0">
                  <c:v>0.2</c:v>
                </c:pt>
                <c:pt idx="1">
                  <c:v>0.3</c:v>
                </c:pt>
                <c:pt idx="2">
                  <c:v>0.2</c:v>
                </c:pt>
                <c:pt idx="3">
                  <c:v>0.3</c:v>
                </c:pt>
                <c:pt idx="4">
                  <c:v>0.3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1-6173-4E12-8037-0568FDD660EA}"/>
            </c:ext>
          </c:extLst>
        </c:ser>
        <c:ser>
          <c:idx val="2"/>
          <c:order val="2"/>
          <c:tx>
            <c:strRef>
              <c:f>Figures!$S$15</c:f>
              <c:strCache>
                <c:ptCount val="1"/>
                <c:pt idx="0">
                  <c:v> retrieve_similar_sentences_bow</c:v>
                </c:pt>
              </c:strCache>
            </c:strRef>
          </c:tx>
          <c:spPr>
            <a:solidFill>
              <a:schemeClr val="tx2">
                <a:lumMod val="10000"/>
                <a:lumOff val="90000"/>
              </a:schemeClr>
            </a:solidFill>
            <a:ln>
              <a:noFill/>
            </a:ln>
            <a:effectLst/>
          </c:spPr>
          <c:invertIfNegative val="0"/>
          <c:cat>
            <c:strRef>
              <c:f>Figures!$P$16:$P$20</c:f>
              <c:strCache>
                <c:ptCount val="5"/>
                <c:pt idx="0">
                  <c:v>mar</c:v>
                </c:pt>
                <c:pt idx="1">
                  <c:v>eng</c:v>
                </c:pt>
                <c:pt idx="2">
                  <c:v>nan</c:v>
                </c:pt>
                <c:pt idx="3">
                  <c:v>nds</c:v>
                </c:pt>
                <c:pt idx="4">
                  <c:v>vie</c:v>
                </c:pt>
              </c:strCache>
            </c:strRef>
          </c:cat>
          <c:val>
            <c:numRef>
              <c:f>Figures!$S$16:$S$20</c:f>
              <c:numCache>
                <c:formatCode>General</c:formatCode>
                <c:ptCount val="5"/>
                <c:pt idx="0">
                  <c:v>0.2</c:v>
                </c:pt>
                <c:pt idx="1">
                  <c:v>0</c:v>
                </c:pt>
                <c:pt idx="2">
                  <c:v>0.1</c:v>
                </c:pt>
                <c:pt idx="3">
                  <c:v>0</c:v>
                </c:pt>
                <c:pt idx="4">
                  <c:v>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2-6173-4E12-8037-0568FDD660EA}"/>
            </c:ext>
          </c:extLst>
        </c:ser>
        <c:ser>
          <c:idx val="3"/>
          <c:order val="3"/>
          <c:tx>
            <c:strRef>
              <c:f>Figures!$T$15</c:f>
              <c:strCache>
                <c:ptCount val="1"/>
                <c:pt idx="0">
                  <c:v> validate_dependency_tree</c:v>
                </c:pt>
              </c:strCache>
            </c:strRef>
          </c:tx>
          <c:spPr>
            <a:solidFill>
              <a:schemeClr val="accent4"/>
            </a:solidFill>
            <a:ln>
              <a:noFill/>
            </a:ln>
            <a:effectLst/>
          </c:spPr>
          <c:invertIfNegative val="0"/>
          <c:cat>
            <c:strRef>
              <c:f>Figures!$P$16:$P$20</c:f>
              <c:strCache>
                <c:ptCount val="5"/>
                <c:pt idx="0">
                  <c:v>mar</c:v>
                </c:pt>
                <c:pt idx="1">
                  <c:v>eng</c:v>
                </c:pt>
                <c:pt idx="2">
                  <c:v>nan</c:v>
                </c:pt>
                <c:pt idx="3">
                  <c:v>nds</c:v>
                </c:pt>
                <c:pt idx="4">
                  <c:v>vie</c:v>
                </c:pt>
              </c:strCache>
            </c:strRef>
          </c:cat>
          <c:val>
            <c:numRef>
              <c:f>Figures!$T$16:$T$20</c:f>
              <c:numCache>
                <c:formatCode>General</c:formatCode>
                <c:ptCount val="5"/>
                <c:pt idx="0">
                  <c:v>0.9</c:v>
                </c:pt>
                <c:pt idx="1">
                  <c:v>0.3</c:v>
                </c:pt>
                <c:pt idx="2">
                  <c:v>0.8</c:v>
                </c:pt>
                <c:pt idx="3">
                  <c:v>0.5</c:v>
                </c:pt>
                <c:pt idx="4">
                  <c:v>1.5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3-6173-4E12-8037-0568FDD660EA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50"/>
        <c:overlap val="100"/>
        <c:axId val="1415414784"/>
        <c:axId val="1262332048"/>
      </c:barChart>
      <c:catAx>
        <c:axId val="1415414784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262332048"/>
        <c:crosses val="autoZero"/>
        <c:auto val="1"/>
        <c:lblAlgn val="ctr"/>
        <c:lblOffset val="100"/>
        <c:noMultiLvlLbl val="0"/>
      </c:catAx>
      <c:valAx>
        <c:axId val="1262332048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415414784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Ex1.xml><?xml version="1.0" encoding="utf-8"?>
<cx:chartSpace xmlns:a="http://schemas.openxmlformats.org/drawingml/2006/main" xmlns:r="http://schemas.openxmlformats.org/officeDocument/2006/relationships" xmlns:cx="http://schemas.microsoft.com/office/drawing/2014/chartex">
  <cx:chartData>
    <cx:data id="0">
      <cx:strDim type="cat">
        <cx:f>_xlchart.v2.0</cx:f>
      </cx:strDim>
      <cx:numDim type="val">
        <cx:f>_xlchart.v2.1</cx:f>
      </cx:numDim>
    </cx:data>
  </cx:chartData>
  <cx:chart>
    <cx:title pos="t" align="ctr" overlay="0">
      <cx:tx>
        <cx:txData>
          <cx:v>Tool Calls per Language</cx:v>
        </cx:txData>
      </cx:tx>
      <cx:txPr>
        <a:bodyPr spcFirstLastPara="1" vertOverflow="ellipsis" horzOverflow="overflow" wrap="square" lIns="0" tIns="0" rIns="0" bIns="0" anchor="ctr" anchorCtr="1"/>
        <a:lstStyle/>
        <a:p>
          <a:pPr algn="ctr" rtl="0">
            <a:defRPr/>
          </a:pPr>
          <a:r>
            <a:rPr lang="en-US" sz="1400" b="0" i="0" u="none" strike="noStrike" baseline="0">
              <a:solidFill>
                <a:sysClr val="windowText" lastClr="000000">
                  <a:lumMod val="65000"/>
                  <a:lumOff val="35000"/>
                </a:sysClr>
              </a:solidFill>
              <a:latin typeface="Aptos Narrow" panose="02110004020202020204"/>
            </a:rPr>
            <a:t>Tool Calls per Language</a:t>
          </a:r>
        </a:p>
      </cx:txPr>
    </cx:title>
    <cx:plotArea>
      <cx:plotAreaRegion>
        <cx:series layoutId="funnel" uniqueId="{D0DED73C-43B4-4E5D-B91B-6D1019674A16}">
          <cx:dataLabels>
            <cx:visibility seriesName="0" categoryName="0" value="1"/>
          </cx:dataLabels>
          <cx:dataId val="0"/>
        </cx:series>
      </cx:plotAreaRegion>
      <cx:axis id="1">
        <cx:catScaling gapWidth="0.0599999987"/>
        <cx:tickLabels/>
      </cx:axis>
    </cx:plotArea>
  </cx:chart>
</cx:chartSpace>
</file>

<file path=xl/charts/colors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2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3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style1.xml><?xml version="1.0" encoding="utf-8"?>
<cs:chartStyle xmlns:cs="http://schemas.microsoft.com/office/drawing/2012/chartStyle" xmlns:a="http://schemas.openxmlformats.org/drawingml/2006/main" id="419">
  <cs:axisTitle>
    <cs:lnRef idx="0"/>
    <cs:fillRef idx="0"/>
    <cs:effectRef idx="0"/>
    <cs:fontRef idx="minor">
      <a:schemeClr val="tx1">
        <a:lumMod val="65000"/>
        <a:lumOff val="35000"/>
      </a:schemeClr>
    </cs:fontRef>
    <cs:defRPr sz="9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/>
  </cs:chartArea>
  <cs:dataLabel>
    <cs:lnRef idx="0"/>
    <cs:fillRef idx="0"/>
    <cs:effectRef idx="0"/>
    <cs:fontRef idx="minor">
      <a:schemeClr val="tx1">
        <a:lumMod val="65000"/>
        <a:lumOff val="35000"/>
      </a:schemeClr>
    </cs:fontRef>
    <cs:defRPr sz="9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0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>
  <cs:dataPoint3D>
    <cs:lnRef idx="0"/>
    <cs:fillRef idx="0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3D>
  <cs:dataPointLine>
    <cs:lnRef idx="0">
      <cs:styleClr val="auto"/>
    </cs:lnRef>
    <cs:fillRef idx="0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/>
    <cs:fillRef idx="0">
      <cs:styleClr val="auto"/>
    </cs:fillRef>
    <cs:effectRef idx="0"/>
    <cs:fontRef idx="minor">
      <a:schemeClr val="tx1"/>
    </cs:fontRef>
    <cs:spPr>
      <a:solidFill>
        <a:schemeClr val="phClr"/>
      </a:solidFill>
      <a:ln w="9525">
        <a:solidFill>
          <a:schemeClr val="lt1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ln w="9525">
        <a:solidFill>
          <a:schemeClr val="tx1">
            <a:lumMod val="15000"/>
            <a:lumOff val="85000"/>
          </a:schemeClr>
        </a:solidFill>
      </a:ln>
    </cs:spPr>
    <cs:defRPr sz="9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/>
  </cs:seriesAxis>
  <cs:seriesLine>
    <cs:lnRef idx="0"/>
    <cs:fillRef idx="0"/>
    <cs:effectRef idx="0"/>
    <cs:fontRef idx="minor">
      <a:schemeClr val="tx1"/>
    </cs:fontRef>
    <cs:spPr>
      <a:ln w="9525" cap="flat">
        <a:solidFill>
          <a:srgbClr val="D9D9D9"/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ash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/>
  </cs:valueAxis>
  <cs:wall>
    <cs:lnRef idx="0"/>
    <cs:fillRef idx="0"/>
    <cs:effectRef idx="0"/>
    <cs:fontRef idx="minor">
      <a:schemeClr val="tx1"/>
    </cs:fontRef>
  </cs:wall>
</cs:chartStyle>
</file>

<file path=xl/charts/style2.xml><?xml version="1.0" encoding="utf-8"?>
<cs:chartStyle xmlns:cs="http://schemas.microsoft.com/office/drawing/2012/chartStyle" xmlns:a="http://schemas.openxmlformats.org/drawingml/2006/main" id="20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3.xml><?xml version="1.0" encoding="utf-8"?>
<cs:chartStyle xmlns:cs="http://schemas.microsoft.com/office/drawing/2012/chartStyle" xmlns:a="http://schemas.openxmlformats.org/drawingml/2006/main" id="297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drawings/_rels/drawing1.xml.rels><?xml version="1.0" encoding="UTF-8" standalone="yes"?>
<Relationships xmlns="http://schemas.openxmlformats.org/package/2006/relationships"><Relationship Id="rId3" Type="http://schemas.openxmlformats.org/officeDocument/2006/relationships/chart" Target="../charts/chart2.xml"/><Relationship Id="rId2" Type="http://schemas.openxmlformats.org/officeDocument/2006/relationships/chart" Target="../charts/chart1.xml"/><Relationship Id="rId1" Type="http://schemas.microsoft.com/office/2014/relationships/chartEx" Target="../charts/chartEx1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9</xdr:col>
      <xdr:colOff>1653540</xdr:colOff>
      <xdr:row>5</xdr:row>
      <xdr:rowOff>26670</xdr:rowOff>
    </xdr:from>
    <xdr:to>
      <xdr:col>14</xdr:col>
      <xdr:colOff>1021080</xdr:colOff>
      <xdr:row>20</xdr:row>
      <xdr:rowOff>26670</xdr:rowOff>
    </xdr:to>
    <mc:AlternateContent xmlns:mc="http://schemas.openxmlformats.org/markup-compatibility/2006">
      <mc:Choice xmlns:cx2="http://schemas.microsoft.com/office/drawing/2015/10/21/chartex" Requires="cx2">
        <xdr:graphicFrame macro="">
          <xdr:nvGraphicFramePr>
            <xdr:cNvPr id="2" name="Chart 1">
              <a:extLst>
                <a:ext uri="{FF2B5EF4-FFF2-40B4-BE49-F238E27FC236}">
                  <a16:creationId xmlns:a16="http://schemas.microsoft.com/office/drawing/2014/main" id="{19B998FE-CB5B-23E8-6276-ACB314BDDEA6}"/>
                </a:ext>
              </a:extLst>
            </xdr:cNvPr>
            <xdr:cNvGraphicFramePr/>
          </xdr:nvGraphicFramePr>
          <xdr:xfrm>
            <a:off x="0" y="0"/>
            <a:ext cx="0" cy="0"/>
          </xdr:xfrm>
          <a:graphic>
            <a:graphicData uri="http://schemas.microsoft.com/office/drawing/2014/chartex">
              <cx:chart xmlns:cx="http://schemas.microsoft.com/office/drawing/2014/chartex" xmlns:r="http://schemas.openxmlformats.org/officeDocument/2006/relationships" r:id="rId1"/>
            </a:graphicData>
          </a:graphic>
        </xdr:graphicFrame>
      </mc:Choice>
      <mc:Fallback>
        <xdr:sp macro="" textlink="">
          <xdr:nvSpPr>
            <xdr:cNvPr id="0" name=""/>
            <xdr:cNvSpPr>
              <a:spLocks noTextEdit="1"/>
            </xdr:cNvSpPr>
          </xdr:nvSpPr>
          <xdr:spPr>
            <a:xfrm>
              <a:off x="10012680" y="941070"/>
              <a:ext cx="4572000" cy="2743200"/>
            </a:xfrm>
            <a:prstGeom prst="rect">
              <a:avLst/>
            </a:prstGeom>
            <a:solidFill>
              <a:prstClr val="white"/>
            </a:solidFill>
            <a:ln w="1">
              <a:solidFill>
                <a:prstClr val="green"/>
              </a:solidFill>
            </a:ln>
          </xdr:spPr>
          <xdr:txBody>
            <a:bodyPr vertOverflow="clip" horzOverflow="clip"/>
            <a:lstStyle/>
            <a:p>
              <a:r>
                <a:rPr lang="en-IN" sz="1100"/>
                <a:t>This chart isn't available in your version of Excel.
Editing this shape or saving this workbook into a different file format will permanently break the chart.</a:t>
              </a:r>
            </a:p>
          </xdr:txBody>
        </xdr:sp>
      </mc:Fallback>
    </mc:AlternateContent>
    <xdr:clientData/>
  </xdr:twoCellAnchor>
  <xdr:twoCellAnchor>
    <xdr:from>
      <xdr:col>7</xdr:col>
      <xdr:colOff>441960</xdr:colOff>
      <xdr:row>22</xdr:row>
      <xdr:rowOff>80010</xdr:rowOff>
    </xdr:from>
    <xdr:to>
      <xdr:col>10</xdr:col>
      <xdr:colOff>1440180</xdr:colOff>
      <xdr:row>37</xdr:row>
      <xdr:rowOff>80010</xdr:rowOff>
    </xdr:to>
    <xdr:graphicFrame macro="">
      <xdr:nvGraphicFramePr>
        <xdr:cNvPr id="3" name="Chart 2">
          <a:extLst>
            <a:ext uri="{FF2B5EF4-FFF2-40B4-BE49-F238E27FC236}">
              <a16:creationId xmlns:a16="http://schemas.microsoft.com/office/drawing/2014/main" id="{E33B7706-8131-DB72-DBFC-75B29B2893C1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  <xdr:twoCellAnchor>
    <xdr:from>
      <xdr:col>16</xdr:col>
      <xdr:colOff>1554480</xdr:colOff>
      <xdr:row>21</xdr:row>
      <xdr:rowOff>125730</xdr:rowOff>
    </xdr:from>
    <xdr:to>
      <xdr:col>18</xdr:col>
      <xdr:colOff>2072640</xdr:colOff>
      <xdr:row>36</xdr:row>
      <xdr:rowOff>125730</xdr:rowOff>
    </xdr:to>
    <xdr:graphicFrame macro="">
      <xdr:nvGraphicFramePr>
        <xdr:cNvPr id="4" name="Chart 3">
          <a:extLst>
            <a:ext uri="{FF2B5EF4-FFF2-40B4-BE49-F238E27FC236}">
              <a16:creationId xmlns:a16="http://schemas.microsoft.com/office/drawing/2014/main" id="{6CF31BC9-906A-F918-DB95-22A1F92C1719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3"/>
        </a:graphicData>
      </a:graphic>
    </xdr:graphicFrame>
    <xdr:clientData/>
  </xdr:twoCellAnchor>
</xdr:wsDr>
</file>

<file path=xl/pivotCache/_rels/pivotCacheDefinition1.xml.rels><?xml version="1.0" encoding="UTF-8" standalone="yes"?>
<Relationships xmlns="http://schemas.openxmlformats.org/package/2006/relationships"><Relationship Id="rId1" Type="http://schemas.openxmlformats.org/officeDocument/2006/relationships/pivotCacheRecords" Target="pivotCacheRecords1.xml"/></Relationships>
</file>

<file path=xl/pivotCache/pivotCacheDefinition1.xml><?xml version="1.0" encoding="utf-8"?>
<pivotCacheDefinition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r:id="rId1" refreshedBy="Nikhila Gadge" refreshedDate="46222.899509953706" createdVersion="8" refreshedVersion="8" minRefreshableVersion="3" recordCount="100" xr:uid="{BE292758-0BC5-41C2-B252-CD1273E41DCA}">
  <cacheSource type="worksheet">
    <worksheetSource ref="A1:Q101" sheet="parse"/>
  </cacheSource>
  <cacheFields count="17">
    <cacheField name="Field1" caption="Field1" numFmtId="0">
      <sharedItems containsSemiMixedTypes="0" containsString="0" containsNumber="1" containsInteger="1" minValue="0" maxValue="49"/>
    </cacheField>
    <cacheField name="sent_id" numFmtId="0">
      <sharedItems containsMixedTypes="1" containsNumber="1" containsInteger="1" minValue="49" maxValue="1907"/>
    </cacheField>
    <cacheField name="language" numFmtId="0">
      <sharedItems count="5">
        <s v="eng"/>
        <s v="nds"/>
        <s v="nan"/>
        <s v="mar"/>
        <s v="vie"/>
      </sharedItems>
    </cacheField>
    <cacheField name="n_words" numFmtId="0">
      <sharedItems containsSemiMixedTypes="0" containsString="0" containsNumber="1" containsInteger="1" minValue="3" maxValue="30"/>
    </cacheField>
    <cacheField name="n_correct" numFmtId="0">
      <sharedItems containsSemiMixedTypes="0" containsString="0" containsNumber="1" containsInteger="1" minValue="0" maxValue="14"/>
    </cacheField>
    <cacheField name="uas" numFmtId="0">
      <sharedItems containsSemiMixedTypes="0" containsString="0" containsNumber="1" minValue="0" maxValue="1"/>
    </cacheField>
    <cacheField name="original_projective" numFmtId="0">
      <sharedItems/>
    </cacheField>
    <cacheField name="parsed_successfully" numFmtId="0">
      <sharedItems/>
    </cacheField>
    <cacheField name="has_valid_tree_structure" numFmtId="0">
      <sharedItems count="2">
        <b v="1"/>
        <b v="0"/>
      </sharedItems>
    </cacheField>
    <cacheField name="with_tools" numFmtId="0">
      <sharedItems count="2">
        <b v="0"/>
        <b v="1"/>
      </sharedItems>
    </cacheField>
    <cacheField name="n_tool_calls" numFmtId="0">
      <sharedItems containsSemiMixedTypes="0" containsString="0" containsNumber="1" containsInteger="1" minValue="0" maxValue="9"/>
    </cacheField>
    <cacheField name="lookup_morphology" numFmtId="0">
      <sharedItems containsSemiMixedTypes="0" containsString="0" containsNumber="1" containsInteger="1" minValue="0" maxValue="2"/>
    </cacheField>
    <cacheField name="retrieve_similar_sentences" numFmtId="0">
      <sharedItems containsSemiMixedTypes="0" containsString="0" containsNumber="1" containsInteger="1" minValue="0" maxValue="1"/>
    </cacheField>
    <cacheField name="retrieve_similar_sentences_bow" numFmtId="0">
      <sharedItems containsSemiMixedTypes="0" containsString="0" containsNumber="1" containsInteger="1" minValue="0" maxValue="1"/>
    </cacheField>
    <cacheField name="validate_dependency_tree" numFmtId="0">
      <sharedItems containsSemiMixedTypes="0" containsString="0" containsNumber="1" containsInteger="1" minValue="0" maxValue="8"/>
    </cacheField>
    <cacheField name="n_generated_tokens" numFmtId="0">
      <sharedItems containsSemiMixedTypes="0" containsString="0" containsNumber="1" containsInteger="1" minValue="567" maxValue="11678"/>
    </cacheField>
    <cacheField name="n_tool_result_tokens" numFmtId="0">
      <sharedItems containsSemiMixedTypes="0" containsString="0" containsNumber="1" containsInteger="1" minValue="0" maxValue="8007"/>
    </cacheField>
  </cacheFields>
  <extLst>
    <ext xmlns:x14="http://schemas.microsoft.com/office/spreadsheetml/2009/9/main" uri="{725AE2AE-9491-48be-B2B4-4EB974FC3084}">
      <x14:pivotCacheDefinition/>
    </ext>
  </extLst>
</pivotCacheDefinition>
</file>

<file path=xl/pivotCache/pivotCacheRecords1.xml><?xml version="1.0" encoding="utf-8"?>
<pivotCacheRecords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count="100">
  <r>
    <n v="0"/>
    <s v="GUM_essay_system-41"/>
    <x v="0"/>
    <n v="18"/>
    <n v="4"/>
    <n v="0.22222222222222199"/>
    <b v="1"/>
    <b v="1"/>
    <x v="0"/>
    <x v="0"/>
    <n v="0"/>
    <n v="0"/>
    <n v="0"/>
    <n v="0"/>
    <n v="0"/>
    <n v="8405"/>
    <n v="0"/>
  </r>
  <r>
    <n v="1"/>
    <s v="GUM_textbook_chemistry-48"/>
    <x v="0"/>
    <n v="16"/>
    <n v="1"/>
    <n v="6.25E-2"/>
    <b v="1"/>
    <b v="0"/>
    <x v="0"/>
    <x v="0"/>
    <n v="0"/>
    <n v="0"/>
    <n v="0"/>
    <n v="0"/>
    <n v="0"/>
    <n v="10003"/>
    <n v="0"/>
  </r>
  <r>
    <n v="2"/>
    <s v="GUM_essay_fear-29"/>
    <x v="0"/>
    <n v="24"/>
    <n v="0"/>
    <n v="0"/>
    <b v="0"/>
    <b v="0"/>
    <x v="0"/>
    <x v="0"/>
    <n v="0"/>
    <n v="0"/>
    <n v="0"/>
    <n v="0"/>
    <n v="0"/>
    <n v="10004"/>
    <n v="0"/>
  </r>
  <r>
    <n v="3"/>
    <s v="GUM_letter_attorney-42"/>
    <x v="0"/>
    <n v="26"/>
    <n v="4"/>
    <n v="0.15384615384615299"/>
    <b v="1"/>
    <b v="0"/>
    <x v="0"/>
    <x v="0"/>
    <n v="0"/>
    <n v="0"/>
    <n v="0"/>
    <n v="0"/>
    <n v="0"/>
    <n v="10001"/>
    <n v="0"/>
  </r>
  <r>
    <n v="4"/>
    <s v="GUM_speech_newzealand-23"/>
    <x v="0"/>
    <n v="21"/>
    <n v="0"/>
    <n v="0"/>
    <b v="1"/>
    <b v="0"/>
    <x v="0"/>
    <x v="0"/>
    <n v="0"/>
    <n v="0"/>
    <n v="0"/>
    <n v="0"/>
    <n v="0"/>
    <n v="10001"/>
    <n v="0"/>
  </r>
  <r>
    <n v="5"/>
    <s v="GUM_bio_jespersen-37"/>
    <x v="0"/>
    <n v="19"/>
    <n v="2"/>
    <n v="0.105263157894736"/>
    <b v="1"/>
    <b v="0"/>
    <x v="0"/>
    <x v="0"/>
    <n v="0"/>
    <n v="0"/>
    <n v="0"/>
    <n v="0"/>
    <n v="0"/>
    <n v="10004"/>
    <n v="0"/>
  </r>
  <r>
    <n v="6"/>
    <s v="GUM_essay_system-6"/>
    <x v="0"/>
    <n v="10"/>
    <n v="4"/>
    <n v="0.4"/>
    <b v="1"/>
    <b v="1"/>
    <x v="0"/>
    <x v="0"/>
    <n v="0"/>
    <n v="0"/>
    <n v="0"/>
    <n v="0"/>
    <n v="0"/>
    <n v="4853"/>
    <n v="0"/>
  </r>
  <r>
    <n v="7"/>
    <s v="GUM_conversation_retirement-82"/>
    <x v="0"/>
    <n v="15"/>
    <n v="11"/>
    <n v="0.73333333333333295"/>
    <b v="1"/>
    <b v="1"/>
    <x v="0"/>
    <x v="0"/>
    <n v="0"/>
    <n v="0"/>
    <n v="0"/>
    <n v="0"/>
    <n v="0"/>
    <n v="5290"/>
    <n v="0"/>
  </r>
  <r>
    <n v="8"/>
    <s v="GUM_textbook_union-50"/>
    <x v="0"/>
    <n v="14"/>
    <n v="1"/>
    <n v="7.1428571428571397E-2"/>
    <b v="1"/>
    <b v="0"/>
    <x v="0"/>
    <x v="0"/>
    <n v="0"/>
    <n v="0"/>
    <n v="0"/>
    <n v="0"/>
    <n v="0"/>
    <n v="10004"/>
    <n v="0"/>
  </r>
  <r>
    <n v="9"/>
    <s v="GUM_voyage_oakland-34"/>
    <x v="0"/>
    <n v="15"/>
    <n v="2"/>
    <n v="0.133333333333333"/>
    <b v="1"/>
    <b v="0"/>
    <x v="0"/>
    <x v="0"/>
    <n v="0"/>
    <n v="0"/>
    <n v="0"/>
    <n v="0"/>
    <n v="0"/>
    <n v="10004"/>
    <n v="0"/>
  </r>
  <r>
    <n v="10"/>
    <s v="LSDC_0138_DWF_201X_OWL_lipsk_werner-zahn_kÃ¼r-mol-wedder-lippisch-platt_die-klassenfahrt"/>
    <x v="1"/>
    <n v="14"/>
    <n v="2"/>
    <n v="0.14285714285714199"/>
    <b v="1"/>
    <b v="1"/>
    <x v="0"/>
    <x v="0"/>
    <n v="0"/>
    <n v="0"/>
    <n v="0"/>
    <n v="0"/>
    <n v="0"/>
    <n v="10004"/>
    <n v="0"/>
  </r>
  <r>
    <n v="11"/>
    <s v="LSDC_0207_DNS_1921_HAM_hamborg_de_rode_unnerrock"/>
    <x v="1"/>
    <n v="13"/>
    <n v="2"/>
    <n v="0.15384615384615299"/>
    <b v="1"/>
    <b v="0"/>
    <x v="0"/>
    <x v="0"/>
    <n v="0"/>
    <n v="0"/>
    <n v="0"/>
    <n v="0"/>
    <n v="0"/>
    <n v="10004"/>
    <n v="0"/>
  </r>
  <r>
    <n v="12"/>
    <s v="LSDC_0045_DWF_1882_westfalen_bielefeld_-_in_der_spinnstuaben_bi_der_aulen_marigge_un_janhiarm_11"/>
    <x v="1"/>
    <n v="12"/>
    <n v="7"/>
    <n v="0.58333333333333304"/>
    <b v="1"/>
    <b v="1"/>
    <x v="0"/>
    <x v="0"/>
    <n v="0"/>
    <n v="0"/>
    <n v="0"/>
    <n v="0"/>
    <n v="0"/>
    <n v="7328"/>
    <n v="0"/>
  </r>
  <r>
    <n v="13"/>
    <s v="LSDC_0236_NWF_20XX_ACH_achterhook_sprookjen"/>
    <x v="1"/>
    <n v="21"/>
    <n v="2"/>
    <n v="9.5238095238095205E-2"/>
    <b v="1"/>
    <b v="0"/>
    <x v="0"/>
    <x v="0"/>
    <n v="0"/>
    <n v="0"/>
    <n v="0"/>
    <n v="0"/>
    <n v="0"/>
    <n v="10004"/>
    <n v="0"/>
  </r>
  <r>
    <n v="14"/>
    <s v="LSDC_0410_NWF_20XX_ACH_achterhooksk_lange-afstands-romantiek"/>
    <x v="1"/>
    <n v="23"/>
    <n v="7"/>
    <n v="0.30434782608695599"/>
    <b v="1"/>
    <b v="1"/>
    <x v="0"/>
    <x v="0"/>
    <n v="0"/>
    <n v="0"/>
    <n v="0"/>
    <n v="0"/>
    <n v="0"/>
    <n v="8815"/>
    <n v="0"/>
  </r>
  <r>
    <n v="15"/>
    <s v="LSDC_0032_DNS_1882_OFR_oustfreesland_bater_is_bater"/>
    <x v="1"/>
    <n v="30"/>
    <n v="4"/>
    <n v="0.133333333333333"/>
    <b v="1"/>
    <b v="0"/>
    <x v="0"/>
    <x v="0"/>
    <n v="0"/>
    <n v="0"/>
    <n v="0"/>
    <n v="0"/>
    <n v="0"/>
    <n v="10004"/>
    <n v="0"/>
  </r>
  <r>
    <n v="16"/>
    <s v="LSDC_0179_DWF_1931_OWL_ravensberg_heinrich-stolte_ravensberg_der-bauernhof-um-1870"/>
    <x v="1"/>
    <n v="16"/>
    <n v="3"/>
    <n v="0.1875"/>
    <b v="1"/>
    <b v="1"/>
    <x v="0"/>
    <x v="0"/>
    <n v="0"/>
    <n v="0"/>
    <n v="0"/>
    <n v="0"/>
    <n v="0"/>
    <n v="9955"/>
    <n v="0"/>
  </r>
  <r>
    <n v="17"/>
    <s v="LSDC_0090_OFL_1846_bronswik_smelzkop_-_ower_de_kunst_jesunt_te_sin"/>
    <x v="1"/>
    <n v="22"/>
    <n v="1"/>
    <n v="4.54545454545454E-2"/>
    <b v="1"/>
    <b v="0"/>
    <x v="0"/>
    <x v="0"/>
    <n v="0"/>
    <n v="0"/>
    <n v="0"/>
    <n v="0"/>
    <n v="0"/>
    <n v="10003"/>
    <n v="0"/>
  </r>
  <r>
    <n v="18"/>
    <s v="LSDC_0382_NWF_20XX_ACH_achterhooksk_lange-afstands-romantiek"/>
    <x v="1"/>
    <n v="20"/>
    <n v="7"/>
    <n v="0.35"/>
    <b v="1"/>
    <b v="1"/>
    <x v="0"/>
    <x v="0"/>
    <n v="0"/>
    <n v="0"/>
    <n v="0"/>
    <n v="0"/>
    <n v="0"/>
    <n v="6544"/>
    <n v="0"/>
  </r>
  <r>
    <n v="19"/>
    <s v="LSDC_0156_DWF_1933_OWL_ravensbergsk_heinrich-stolte_das-neue-testament"/>
    <x v="1"/>
    <n v="14"/>
    <n v="4"/>
    <n v="0.28571428571428498"/>
    <b v="1"/>
    <b v="1"/>
    <x v="0"/>
    <x v="0"/>
    <n v="0"/>
    <n v="0"/>
    <n v="0"/>
    <n v="0"/>
    <n v="0"/>
    <n v="8394"/>
    <n v="0"/>
  </r>
  <r>
    <n v="20"/>
    <n v="1565"/>
    <x v="2"/>
    <n v="5"/>
    <n v="5"/>
    <n v="1"/>
    <b v="1"/>
    <b v="1"/>
    <x v="0"/>
    <x v="0"/>
    <n v="0"/>
    <n v="0"/>
    <n v="0"/>
    <n v="0"/>
    <n v="0"/>
    <n v="4496"/>
    <n v="0"/>
  </r>
  <r>
    <n v="21"/>
    <n v="1303"/>
    <x v="2"/>
    <n v="5"/>
    <n v="5"/>
    <n v="1"/>
    <b v="1"/>
    <b v="1"/>
    <x v="0"/>
    <x v="0"/>
    <n v="0"/>
    <n v="0"/>
    <n v="0"/>
    <n v="0"/>
    <n v="0"/>
    <n v="5884"/>
    <n v="0"/>
  </r>
  <r>
    <n v="22"/>
    <n v="1907"/>
    <x v="2"/>
    <n v="5"/>
    <n v="3"/>
    <n v="0.6"/>
    <b v="1"/>
    <b v="1"/>
    <x v="0"/>
    <x v="0"/>
    <n v="0"/>
    <n v="0"/>
    <n v="0"/>
    <n v="0"/>
    <n v="0"/>
    <n v="4157"/>
    <n v="0"/>
  </r>
  <r>
    <n v="23"/>
    <n v="1635"/>
    <x v="2"/>
    <n v="6"/>
    <n v="3"/>
    <n v="0.5"/>
    <b v="1"/>
    <b v="1"/>
    <x v="0"/>
    <x v="0"/>
    <n v="0"/>
    <n v="0"/>
    <n v="0"/>
    <n v="0"/>
    <n v="0"/>
    <n v="5474"/>
    <n v="0"/>
  </r>
  <r>
    <n v="24"/>
    <n v="1265"/>
    <x v="2"/>
    <n v="3"/>
    <n v="2"/>
    <n v="0.66666666666666596"/>
    <b v="1"/>
    <b v="1"/>
    <x v="0"/>
    <x v="0"/>
    <n v="0"/>
    <n v="0"/>
    <n v="0"/>
    <n v="0"/>
    <n v="0"/>
    <n v="3726"/>
    <n v="0"/>
  </r>
  <r>
    <n v="25"/>
    <n v="943"/>
    <x v="2"/>
    <n v="3"/>
    <n v="2"/>
    <n v="0.66666666666666596"/>
    <b v="1"/>
    <b v="1"/>
    <x v="0"/>
    <x v="0"/>
    <n v="0"/>
    <n v="0"/>
    <n v="0"/>
    <n v="0"/>
    <n v="0"/>
    <n v="4542"/>
    <n v="0"/>
  </r>
  <r>
    <n v="26"/>
    <n v="168"/>
    <x v="2"/>
    <n v="5"/>
    <n v="5"/>
    <n v="1"/>
    <b v="1"/>
    <b v="1"/>
    <x v="0"/>
    <x v="0"/>
    <n v="0"/>
    <n v="0"/>
    <n v="0"/>
    <n v="0"/>
    <n v="0"/>
    <n v="6567"/>
    <n v="0"/>
  </r>
  <r>
    <n v="27"/>
    <n v="1231"/>
    <x v="2"/>
    <n v="4"/>
    <n v="4"/>
    <n v="1"/>
    <b v="1"/>
    <b v="1"/>
    <x v="0"/>
    <x v="0"/>
    <n v="0"/>
    <n v="0"/>
    <n v="0"/>
    <n v="0"/>
    <n v="0"/>
    <n v="7030"/>
    <n v="0"/>
  </r>
  <r>
    <n v="28"/>
    <n v="1393"/>
    <x v="2"/>
    <n v="5"/>
    <n v="2"/>
    <n v="0.4"/>
    <b v="1"/>
    <b v="1"/>
    <x v="0"/>
    <x v="0"/>
    <n v="0"/>
    <n v="0"/>
    <n v="0"/>
    <n v="0"/>
    <n v="0"/>
    <n v="9904"/>
    <n v="0"/>
  </r>
  <r>
    <n v="29"/>
    <n v="49"/>
    <x v="2"/>
    <n v="4"/>
    <n v="4"/>
    <n v="1"/>
    <b v="1"/>
    <b v="1"/>
    <x v="0"/>
    <x v="0"/>
    <n v="0"/>
    <n v="0"/>
    <n v="0"/>
    <n v="0"/>
    <n v="0"/>
    <n v="10004"/>
    <n v="0"/>
  </r>
  <r>
    <n v="30"/>
    <n v="433"/>
    <x v="3"/>
    <n v="6"/>
    <n v="5"/>
    <n v="0.83333333333333304"/>
    <b v="1"/>
    <b v="1"/>
    <x v="0"/>
    <x v="0"/>
    <n v="0"/>
    <n v="0"/>
    <n v="0"/>
    <n v="0"/>
    <n v="0"/>
    <n v="8787"/>
    <n v="0"/>
  </r>
  <r>
    <n v="31"/>
    <n v="429"/>
    <x v="3"/>
    <n v="5"/>
    <n v="5"/>
    <n v="1"/>
    <b v="1"/>
    <b v="1"/>
    <x v="0"/>
    <x v="0"/>
    <n v="0"/>
    <n v="0"/>
    <n v="0"/>
    <n v="0"/>
    <n v="0"/>
    <n v="7395"/>
    <n v="0"/>
  </r>
  <r>
    <n v="32"/>
    <n v="432"/>
    <x v="3"/>
    <n v="6"/>
    <n v="2"/>
    <n v="0.33333333333333298"/>
    <b v="1"/>
    <b v="1"/>
    <x v="0"/>
    <x v="0"/>
    <n v="0"/>
    <n v="0"/>
    <n v="0"/>
    <n v="0"/>
    <n v="0"/>
    <n v="8303"/>
    <n v="0"/>
  </r>
  <r>
    <n v="33"/>
    <n v="434"/>
    <x v="3"/>
    <n v="5"/>
    <n v="0"/>
    <n v="0"/>
    <b v="1"/>
    <b v="1"/>
    <x v="0"/>
    <x v="0"/>
    <n v="0"/>
    <n v="0"/>
    <n v="0"/>
    <n v="0"/>
    <n v="0"/>
    <n v="8091"/>
    <n v="0"/>
  </r>
  <r>
    <n v="34"/>
    <n v="411"/>
    <x v="3"/>
    <n v="9"/>
    <n v="6"/>
    <n v="0.66666666666666596"/>
    <b v="1"/>
    <b v="1"/>
    <x v="0"/>
    <x v="0"/>
    <n v="0"/>
    <n v="0"/>
    <n v="0"/>
    <n v="0"/>
    <n v="0"/>
    <n v="4047"/>
    <n v="0"/>
  </r>
  <r>
    <n v="35"/>
    <n v="418"/>
    <x v="3"/>
    <n v="6"/>
    <n v="4"/>
    <n v="0.66666666666666596"/>
    <b v="1"/>
    <b v="1"/>
    <x v="0"/>
    <x v="0"/>
    <n v="0"/>
    <n v="0"/>
    <n v="0"/>
    <n v="0"/>
    <n v="0"/>
    <n v="2512"/>
    <n v="0"/>
  </r>
  <r>
    <n v="36"/>
    <n v="400"/>
    <x v="3"/>
    <n v="6"/>
    <n v="4"/>
    <n v="0.66666666666666596"/>
    <b v="1"/>
    <b v="1"/>
    <x v="0"/>
    <x v="0"/>
    <n v="0"/>
    <n v="0"/>
    <n v="0"/>
    <n v="0"/>
    <n v="0"/>
    <n v="6868"/>
    <n v="0"/>
  </r>
  <r>
    <n v="37"/>
    <n v="397"/>
    <x v="3"/>
    <n v="6"/>
    <n v="0"/>
    <n v="0"/>
    <b v="1"/>
    <b v="1"/>
    <x v="0"/>
    <x v="0"/>
    <n v="0"/>
    <n v="0"/>
    <n v="0"/>
    <n v="0"/>
    <n v="0"/>
    <n v="9506"/>
    <n v="0"/>
  </r>
  <r>
    <n v="38"/>
    <n v="414"/>
    <x v="3"/>
    <n v="10"/>
    <n v="5"/>
    <n v="0.5"/>
    <b v="1"/>
    <b v="1"/>
    <x v="0"/>
    <x v="0"/>
    <n v="0"/>
    <n v="0"/>
    <n v="0"/>
    <n v="0"/>
    <n v="0"/>
    <n v="6310"/>
    <n v="0"/>
  </r>
  <r>
    <n v="39"/>
    <n v="399"/>
    <x v="3"/>
    <n v="8"/>
    <n v="7"/>
    <n v="0.875"/>
    <b v="1"/>
    <b v="1"/>
    <x v="0"/>
    <x v="0"/>
    <n v="0"/>
    <n v="0"/>
    <n v="0"/>
    <n v="0"/>
    <n v="0"/>
    <n v="6502"/>
    <n v="0"/>
  </r>
  <r>
    <n v="40"/>
    <s v="text-s180"/>
    <x v="4"/>
    <n v="20"/>
    <n v="12"/>
    <n v="0.6"/>
    <b v="1"/>
    <b v="1"/>
    <x v="0"/>
    <x v="0"/>
    <n v="0"/>
    <n v="0"/>
    <n v="0"/>
    <n v="0"/>
    <n v="0"/>
    <n v="9039"/>
    <n v="0"/>
  </r>
  <r>
    <n v="41"/>
    <s v="text-s329"/>
    <x v="4"/>
    <n v="12"/>
    <n v="2"/>
    <n v="0.16666666666666599"/>
    <b v="1"/>
    <b v="0"/>
    <x v="0"/>
    <x v="0"/>
    <n v="0"/>
    <n v="0"/>
    <n v="0"/>
    <n v="0"/>
    <n v="0"/>
    <n v="10006"/>
    <n v="0"/>
  </r>
  <r>
    <n v="42"/>
    <s v="text-s349"/>
    <x v="4"/>
    <n v="14"/>
    <n v="3"/>
    <n v="0.214285714285714"/>
    <b v="1"/>
    <b v="0"/>
    <x v="0"/>
    <x v="0"/>
    <n v="0"/>
    <n v="0"/>
    <n v="0"/>
    <n v="0"/>
    <n v="0"/>
    <n v="10003"/>
    <n v="0"/>
  </r>
  <r>
    <n v="43"/>
    <s v="text-s33"/>
    <x v="4"/>
    <n v="17"/>
    <n v="11"/>
    <n v="0.64705882352941102"/>
    <b v="1"/>
    <b v="1"/>
    <x v="0"/>
    <x v="0"/>
    <n v="0"/>
    <n v="0"/>
    <n v="0"/>
    <n v="0"/>
    <n v="0"/>
    <n v="6424"/>
    <n v="0"/>
  </r>
  <r>
    <n v="44"/>
    <s v="text-s72"/>
    <x v="4"/>
    <n v="13"/>
    <n v="13"/>
    <n v="1"/>
    <b v="1"/>
    <b v="1"/>
    <x v="0"/>
    <x v="0"/>
    <n v="0"/>
    <n v="0"/>
    <n v="0"/>
    <n v="0"/>
    <n v="0"/>
    <n v="8763"/>
    <n v="0"/>
  </r>
  <r>
    <n v="45"/>
    <s v="text-s396"/>
    <x v="4"/>
    <n v="15"/>
    <n v="9"/>
    <n v="0.6"/>
    <b v="1"/>
    <b v="1"/>
    <x v="0"/>
    <x v="0"/>
    <n v="0"/>
    <n v="0"/>
    <n v="0"/>
    <n v="0"/>
    <n v="0"/>
    <n v="6484"/>
    <n v="0"/>
  </r>
  <r>
    <n v="46"/>
    <s v="test-s1604"/>
    <x v="4"/>
    <n v="11"/>
    <n v="1"/>
    <n v="9.0909090909090898E-2"/>
    <b v="1"/>
    <b v="1"/>
    <x v="0"/>
    <x v="0"/>
    <n v="0"/>
    <n v="0"/>
    <n v="0"/>
    <n v="0"/>
    <n v="0"/>
    <n v="6168"/>
    <n v="0"/>
  </r>
  <r>
    <n v="47"/>
    <s v="text-s355"/>
    <x v="4"/>
    <n v="23"/>
    <n v="14"/>
    <n v="0.60869565217391297"/>
    <b v="1"/>
    <b v="1"/>
    <x v="0"/>
    <x v="0"/>
    <n v="0"/>
    <n v="0"/>
    <n v="0"/>
    <n v="0"/>
    <n v="0"/>
    <n v="9377"/>
    <n v="0"/>
  </r>
  <r>
    <n v="48"/>
    <s v="text-s332"/>
    <x v="4"/>
    <n v="23"/>
    <n v="12"/>
    <n v="0.52173913043478204"/>
    <b v="1"/>
    <b v="1"/>
    <x v="0"/>
    <x v="0"/>
    <n v="0"/>
    <n v="0"/>
    <n v="0"/>
    <n v="0"/>
    <n v="0"/>
    <n v="7285"/>
    <n v="0"/>
  </r>
  <r>
    <n v="49"/>
    <s v="text-s508"/>
    <x v="4"/>
    <n v="14"/>
    <n v="11"/>
    <n v="0.78571428571428503"/>
    <b v="1"/>
    <b v="1"/>
    <x v="0"/>
    <x v="0"/>
    <n v="0"/>
    <n v="0"/>
    <n v="0"/>
    <n v="0"/>
    <n v="0"/>
    <n v="6752"/>
    <n v="0"/>
  </r>
  <r>
    <n v="0"/>
    <s v="GUM_textbook_chemistry-48"/>
    <x v="0"/>
    <n v="16"/>
    <n v="11"/>
    <n v="0.6875"/>
    <b v="1"/>
    <b v="1"/>
    <x v="1"/>
    <x v="1"/>
    <n v="1"/>
    <n v="0"/>
    <n v="1"/>
    <n v="0"/>
    <n v="0"/>
    <n v="2417"/>
    <n v="1745"/>
  </r>
  <r>
    <n v="1"/>
    <s v="GUM_conversation_retirement-82"/>
    <x v="0"/>
    <n v="15"/>
    <n v="5"/>
    <n v="0.33333333333333298"/>
    <b v="1"/>
    <b v="1"/>
    <x v="1"/>
    <x v="1"/>
    <n v="0"/>
    <n v="0"/>
    <n v="0"/>
    <n v="0"/>
    <n v="0"/>
    <n v="2291"/>
    <n v="0"/>
  </r>
  <r>
    <n v="2"/>
    <s v="GUM_essay_system-41"/>
    <x v="0"/>
    <n v="18"/>
    <n v="1"/>
    <n v="5.5555555555555497E-2"/>
    <b v="1"/>
    <b v="1"/>
    <x v="1"/>
    <x v="1"/>
    <n v="1"/>
    <n v="0"/>
    <n v="1"/>
    <n v="0"/>
    <n v="0"/>
    <n v="2114"/>
    <n v="1386"/>
  </r>
  <r>
    <n v="3"/>
    <s v="GUM_essay_system-6"/>
    <x v="0"/>
    <n v="10"/>
    <n v="5"/>
    <n v="0.5"/>
    <b v="1"/>
    <b v="1"/>
    <x v="0"/>
    <x v="1"/>
    <n v="3"/>
    <n v="0"/>
    <n v="1"/>
    <n v="0"/>
    <n v="2"/>
    <n v="3157"/>
    <n v="2260"/>
  </r>
  <r>
    <n v="4"/>
    <s v="GUM_letter_attorney-42"/>
    <x v="0"/>
    <n v="26"/>
    <n v="6"/>
    <n v="0.23076923076923"/>
    <b v="1"/>
    <b v="1"/>
    <x v="1"/>
    <x v="1"/>
    <n v="2"/>
    <n v="1"/>
    <n v="0"/>
    <n v="0"/>
    <n v="1"/>
    <n v="2653"/>
    <n v="841"/>
  </r>
  <r>
    <n v="5"/>
    <s v="GUM_voyage_oakland-34"/>
    <x v="0"/>
    <n v="15"/>
    <n v="7"/>
    <n v="0.46666666666666601"/>
    <b v="1"/>
    <b v="1"/>
    <x v="1"/>
    <x v="1"/>
    <n v="0"/>
    <n v="0"/>
    <n v="0"/>
    <n v="0"/>
    <n v="0"/>
    <n v="1142"/>
    <n v="0"/>
  </r>
  <r>
    <n v="6"/>
    <s v="GUM_bio_jespersen-37"/>
    <x v="0"/>
    <n v="19"/>
    <n v="2"/>
    <n v="0.105263157894736"/>
    <b v="1"/>
    <b v="1"/>
    <x v="0"/>
    <x v="1"/>
    <n v="0"/>
    <n v="0"/>
    <n v="0"/>
    <n v="0"/>
    <n v="0"/>
    <n v="10000"/>
    <n v="0"/>
  </r>
  <r>
    <n v="7"/>
    <s v="GUM_textbook_union-50"/>
    <x v="0"/>
    <n v="14"/>
    <n v="9"/>
    <n v="0.64285714285714202"/>
    <b v="1"/>
    <b v="1"/>
    <x v="0"/>
    <x v="1"/>
    <n v="0"/>
    <n v="0"/>
    <n v="0"/>
    <n v="0"/>
    <n v="0"/>
    <n v="2445"/>
    <n v="0"/>
  </r>
  <r>
    <n v="8"/>
    <s v="GUM_essay_fear-29"/>
    <x v="0"/>
    <n v="24"/>
    <n v="0"/>
    <n v="0"/>
    <b v="0"/>
    <b v="1"/>
    <x v="0"/>
    <x v="1"/>
    <n v="0"/>
    <n v="0"/>
    <n v="0"/>
    <n v="0"/>
    <n v="0"/>
    <n v="10001"/>
    <n v="0"/>
  </r>
  <r>
    <n v="9"/>
    <s v="GUM_speech_newzealand-23"/>
    <x v="0"/>
    <n v="21"/>
    <n v="7"/>
    <n v="0.33333333333333298"/>
    <b v="1"/>
    <b v="1"/>
    <x v="1"/>
    <x v="1"/>
    <n v="0"/>
    <n v="0"/>
    <n v="0"/>
    <n v="0"/>
    <n v="0"/>
    <n v="1143"/>
    <n v="0"/>
  </r>
  <r>
    <n v="10"/>
    <s v="LSDC_0179_DWF_1931_OWL_ravensberg_heinrich-stolte_ravensberg_der-bauernhof-um-1870"/>
    <x v="1"/>
    <n v="16"/>
    <n v="3"/>
    <n v="0.1875"/>
    <b v="1"/>
    <b v="1"/>
    <x v="0"/>
    <x v="1"/>
    <n v="0"/>
    <n v="0"/>
    <n v="0"/>
    <n v="0"/>
    <n v="0"/>
    <n v="8883"/>
    <n v="0"/>
  </r>
  <r>
    <n v="11"/>
    <s v="LSDC_0045_DWF_1882_westfalen_bielefeld_-_in_der_spinnstuaben_bi_der_aulen_marigge_un_janhiarm_11"/>
    <x v="1"/>
    <n v="12"/>
    <n v="5"/>
    <n v="0.41666666666666602"/>
    <b v="1"/>
    <b v="1"/>
    <x v="0"/>
    <x v="1"/>
    <n v="2"/>
    <n v="1"/>
    <n v="0"/>
    <n v="0"/>
    <n v="1"/>
    <n v="2799"/>
    <n v="858"/>
  </r>
  <r>
    <n v="12"/>
    <s v="LSDC_0138_DWF_201X_OWL_lipsk_werner-zahn_kÃ¼r-mol-wedder-lippisch-platt_die-klassenfahrt"/>
    <x v="1"/>
    <n v="14"/>
    <n v="10"/>
    <n v="0.71428571428571397"/>
    <b v="1"/>
    <b v="1"/>
    <x v="0"/>
    <x v="1"/>
    <n v="4"/>
    <n v="1"/>
    <n v="1"/>
    <n v="0"/>
    <n v="2"/>
    <n v="9913"/>
    <n v="3667"/>
  </r>
  <r>
    <n v="13"/>
    <s v="LSDC_0156_DWF_1933_OWL_ravensbergsk_heinrich-stolte_das-neue-testament"/>
    <x v="1"/>
    <n v="14"/>
    <n v="5"/>
    <n v="0.35714285714285698"/>
    <b v="1"/>
    <b v="1"/>
    <x v="0"/>
    <x v="1"/>
    <n v="0"/>
    <n v="0"/>
    <n v="0"/>
    <n v="0"/>
    <n v="0"/>
    <n v="7457"/>
    <n v="0"/>
  </r>
  <r>
    <n v="14"/>
    <s v="LSDC_0207_DNS_1921_HAM_hamborg_de_rode_unnerrock"/>
    <x v="1"/>
    <n v="13"/>
    <n v="5"/>
    <n v="0.38461538461538403"/>
    <b v="1"/>
    <b v="1"/>
    <x v="1"/>
    <x v="1"/>
    <n v="0"/>
    <n v="0"/>
    <n v="0"/>
    <n v="0"/>
    <n v="0"/>
    <n v="6896"/>
    <n v="0"/>
  </r>
  <r>
    <n v="15"/>
    <s v="LSDC_0090_OFL_1846_bronswik_smelzkop_-_ower_de_kunst_jesunt_te_sin"/>
    <x v="1"/>
    <n v="22"/>
    <n v="10"/>
    <n v="0.45454545454545398"/>
    <b v="1"/>
    <b v="1"/>
    <x v="0"/>
    <x v="1"/>
    <n v="1"/>
    <n v="1"/>
    <n v="0"/>
    <n v="0"/>
    <n v="0"/>
    <n v="10222"/>
    <n v="2043"/>
  </r>
  <r>
    <n v="16"/>
    <s v="LSDC_0410_NWF_20XX_ACH_achterhooksk_lange-afstands-romantiek"/>
    <x v="1"/>
    <n v="23"/>
    <n v="0"/>
    <n v="0"/>
    <b v="1"/>
    <b v="0"/>
    <x v="0"/>
    <x v="1"/>
    <n v="1"/>
    <n v="1"/>
    <n v="0"/>
    <n v="0"/>
    <n v="0"/>
    <n v="11678"/>
    <n v="2878"/>
  </r>
  <r>
    <n v="17"/>
    <s v="LSDC_0032_DNS_1882_OFR_oustfreesland_bater_is_bater"/>
    <x v="1"/>
    <n v="30"/>
    <n v="5"/>
    <n v="0.16666666666666599"/>
    <b v="1"/>
    <b v="1"/>
    <x v="0"/>
    <x v="1"/>
    <n v="1"/>
    <n v="1"/>
    <n v="0"/>
    <n v="0"/>
    <n v="0"/>
    <n v="11067"/>
    <n v="3194"/>
  </r>
  <r>
    <n v="18"/>
    <s v="LSDC_0382_NWF_20XX_ACH_achterhooksk_lange-afstands-romantiek"/>
    <x v="1"/>
    <n v="20"/>
    <n v="7"/>
    <n v="0.35"/>
    <b v="1"/>
    <b v="1"/>
    <x v="0"/>
    <x v="1"/>
    <n v="3"/>
    <n v="1"/>
    <n v="1"/>
    <n v="0"/>
    <n v="1"/>
    <n v="4566"/>
    <n v="8007"/>
  </r>
  <r>
    <n v="19"/>
    <s v="LSDC_0236_NWF_20XX_ACH_achterhook_sprookjen"/>
    <x v="1"/>
    <n v="21"/>
    <n v="2"/>
    <n v="9.5238095238095205E-2"/>
    <b v="1"/>
    <b v="1"/>
    <x v="1"/>
    <x v="1"/>
    <n v="3"/>
    <n v="1"/>
    <n v="1"/>
    <n v="0"/>
    <n v="1"/>
    <n v="8517"/>
    <n v="6062"/>
  </r>
  <r>
    <n v="20"/>
    <n v="168"/>
    <x v="2"/>
    <n v="5"/>
    <n v="2"/>
    <n v="0.4"/>
    <b v="1"/>
    <b v="1"/>
    <x v="0"/>
    <x v="1"/>
    <n v="3"/>
    <n v="1"/>
    <n v="0"/>
    <n v="0"/>
    <n v="2"/>
    <n v="3370"/>
    <n v="351"/>
  </r>
  <r>
    <n v="21"/>
    <n v="1231"/>
    <x v="2"/>
    <n v="4"/>
    <n v="4"/>
    <n v="1"/>
    <b v="1"/>
    <b v="1"/>
    <x v="0"/>
    <x v="1"/>
    <n v="3"/>
    <n v="1"/>
    <n v="1"/>
    <n v="0"/>
    <n v="1"/>
    <n v="1725"/>
    <n v="1454"/>
  </r>
  <r>
    <n v="22"/>
    <n v="1907"/>
    <x v="2"/>
    <n v="5"/>
    <n v="4"/>
    <n v="0.8"/>
    <b v="1"/>
    <b v="1"/>
    <x v="0"/>
    <x v="1"/>
    <n v="0"/>
    <n v="0"/>
    <n v="0"/>
    <n v="0"/>
    <n v="0"/>
    <n v="567"/>
    <n v="0"/>
  </r>
  <r>
    <n v="23"/>
    <n v="1265"/>
    <x v="2"/>
    <n v="3"/>
    <n v="3"/>
    <n v="1"/>
    <b v="1"/>
    <b v="1"/>
    <x v="0"/>
    <x v="1"/>
    <n v="3"/>
    <n v="1"/>
    <n v="0"/>
    <n v="1"/>
    <n v="1"/>
    <n v="1571"/>
    <n v="1105"/>
  </r>
  <r>
    <n v="24"/>
    <n v="1565"/>
    <x v="2"/>
    <n v="5"/>
    <n v="5"/>
    <n v="1"/>
    <b v="1"/>
    <b v="1"/>
    <x v="0"/>
    <x v="1"/>
    <n v="2"/>
    <n v="1"/>
    <n v="0"/>
    <n v="0"/>
    <n v="1"/>
    <n v="1525"/>
    <n v="338"/>
  </r>
  <r>
    <n v="25"/>
    <n v="1635"/>
    <x v="2"/>
    <n v="6"/>
    <n v="2"/>
    <n v="0.33333333333333298"/>
    <b v="1"/>
    <b v="1"/>
    <x v="0"/>
    <x v="1"/>
    <n v="3"/>
    <n v="2"/>
    <n v="1"/>
    <n v="0"/>
    <n v="0"/>
    <n v="5559"/>
    <n v="1190"/>
  </r>
  <r>
    <n v="26"/>
    <n v="943"/>
    <x v="2"/>
    <n v="3"/>
    <n v="1"/>
    <n v="0.33333333333333298"/>
    <b v="1"/>
    <b v="1"/>
    <x v="0"/>
    <x v="1"/>
    <n v="1"/>
    <n v="1"/>
    <n v="0"/>
    <n v="0"/>
    <n v="0"/>
    <n v="1298"/>
    <n v="126"/>
  </r>
  <r>
    <n v="27"/>
    <n v="1393"/>
    <x v="2"/>
    <n v="5"/>
    <n v="1"/>
    <n v="0.2"/>
    <b v="1"/>
    <b v="1"/>
    <x v="0"/>
    <x v="1"/>
    <n v="2"/>
    <n v="1"/>
    <n v="0"/>
    <n v="0"/>
    <n v="1"/>
    <n v="2083"/>
    <n v="336"/>
  </r>
  <r>
    <n v="28"/>
    <n v="49"/>
    <x v="2"/>
    <n v="4"/>
    <n v="3"/>
    <n v="0.75"/>
    <b v="1"/>
    <b v="0"/>
    <x v="0"/>
    <x v="1"/>
    <n v="1"/>
    <n v="0"/>
    <n v="0"/>
    <n v="0"/>
    <n v="1"/>
    <n v="892"/>
    <n v="10"/>
  </r>
  <r>
    <n v="29"/>
    <n v="1303"/>
    <x v="2"/>
    <n v="5"/>
    <n v="5"/>
    <n v="1"/>
    <b v="1"/>
    <b v="1"/>
    <x v="0"/>
    <x v="1"/>
    <n v="2"/>
    <n v="1"/>
    <n v="0"/>
    <n v="0"/>
    <n v="1"/>
    <n v="1772"/>
    <n v="290"/>
  </r>
  <r>
    <n v="30"/>
    <n v="418"/>
    <x v="3"/>
    <n v="6"/>
    <n v="4"/>
    <n v="0.66666666666666596"/>
    <b v="1"/>
    <b v="1"/>
    <x v="0"/>
    <x v="1"/>
    <n v="1"/>
    <n v="1"/>
    <n v="0"/>
    <n v="0"/>
    <n v="0"/>
    <n v="1730"/>
    <n v="447"/>
  </r>
  <r>
    <n v="31"/>
    <n v="400"/>
    <x v="3"/>
    <n v="6"/>
    <n v="4"/>
    <n v="0.66666666666666596"/>
    <b v="1"/>
    <b v="1"/>
    <x v="0"/>
    <x v="1"/>
    <n v="2"/>
    <n v="1"/>
    <n v="1"/>
    <n v="0"/>
    <n v="0"/>
    <n v="3804"/>
    <n v="2319"/>
  </r>
  <r>
    <n v="32"/>
    <n v="434"/>
    <x v="3"/>
    <n v="5"/>
    <n v="2"/>
    <n v="0.4"/>
    <b v="1"/>
    <b v="1"/>
    <x v="0"/>
    <x v="1"/>
    <n v="2"/>
    <n v="1"/>
    <n v="0"/>
    <n v="0"/>
    <n v="1"/>
    <n v="1895"/>
    <n v="269"/>
  </r>
  <r>
    <n v="33"/>
    <n v="432"/>
    <x v="3"/>
    <n v="6"/>
    <n v="2"/>
    <n v="0.33333333333333298"/>
    <b v="1"/>
    <b v="1"/>
    <x v="0"/>
    <x v="1"/>
    <n v="3"/>
    <n v="1"/>
    <n v="0"/>
    <n v="1"/>
    <n v="1"/>
    <n v="4241"/>
    <n v="2537"/>
  </r>
  <r>
    <n v="34"/>
    <n v="397"/>
    <x v="3"/>
    <n v="6"/>
    <n v="1"/>
    <n v="0.16666666666666599"/>
    <b v="1"/>
    <b v="1"/>
    <x v="0"/>
    <x v="1"/>
    <n v="2"/>
    <n v="1"/>
    <n v="0"/>
    <n v="0"/>
    <n v="1"/>
    <n v="2587"/>
    <n v="421"/>
  </r>
  <r>
    <n v="35"/>
    <n v="411"/>
    <x v="3"/>
    <n v="9"/>
    <n v="7"/>
    <n v="0.77777777777777701"/>
    <b v="1"/>
    <b v="1"/>
    <x v="0"/>
    <x v="1"/>
    <n v="0"/>
    <n v="0"/>
    <n v="0"/>
    <n v="0"/>
    <n v="0"/>
    <n v="5658"/>
    <n v="0"/>
  </r>
  <r>
    <n v="36"/>
    <n v="399"/>
    <x v="3"/>
    <n v="8"/>
    <n v="5"/>
    <n v="0.625"/>
    <b v="1"/>
    <b v="1"/>
    <x v="0"/>
    <x v="1"/>
    <n v="2"/>
    <n v="1"/>
    <n v="0"/>
    <n v="0"/>
    <n v="1"/>
    <n v="2015"/>
    <n v="726"/>
  </r>
  <r>
    <n v="37"/>
    <n v="429"/>
    <x v="3"/>
    <n v="5"/>
    <n v="5"/>
    <n v="1"/>
    <b v="1"/>
    <b v="1"/>
    <x v="0"/>
    <x v="1"/>
    <n v="2"/>
    <n v="1"/>
    <n v="0"/>
    <n v="0"/>
    <n v="1"/>
    <n v="1966"/>
    <n v="266"/>
  </r>
  <r>
    <n v="38"/>
    <n v="414"/>
    <x v="3"/>
    <n v="10"/>
    <n v="6"/>
    <n v="0.6"/>
    <b v="1"/>
    <b v="1"/>
    <x v="0"/>
    <x v="1"/>
    <n v="3"/>
    <n v="1"/>
    <n v="0"/>
    <n v="1"/>
    <n v="1"/>
    <n v="6992"/>
    <n v="1421"/>
  </r>
  <r>
    <n v="39"/>
    <n v="433"/>
    <x v="3"/>
    <n v="6"/>
    <n v="2"/>
    <n v="0.33333333333333298"/>
    <b v="1"/>
    <b v="1"/>
    <x v="0"/>
    <x v="1"/>
    <n v="5"/>
    <n v="1"/>
    <n v="1"/>
    <n v="0"/>
    <n v="3"/>
    <n v="6633"/>
    <n v="1946"/>
  </r>
  <r>
    <n v="40"/>
    <s v="text-s180"/>
    <x v="4"/>
    <n v="20"/>
    <n v="11"/>
    <n v="0.55000000000000004"/>
    <b v="1"/>
    <b v="1"/>
    <x v="0"/>
    <x v="1"/>
    <n v="2"/>
    <n v="1"/>
    <n v="1"/>
    <n v="0"/>
    <n v="0"/>
    <n v="7424"/>
    <n v="2461"/>
  </r>
  <r>
    <n v="41"/>
    <s v="text-s329"/>
    <x v="4"/>
    <n v="12"/>
    <n v="8"/>
    <n v="0.66666666666666596"/>
    <b v="1"/>
    <b v="1"/>
    <x v="0"/>
    <x v="1"/>
    <n v="2"/>
    <n v="0"/>
    <n v="0"/>
    <n v="0"/>
    <n v="2"/>
    <n v="3258"/>
    <n v="30"/>
  </r>
  <r>
    <n v="42"/>
    <s v="text-s72"/>
    <x v="4"/>
    <n v="13"/>
    <n v="12"/>
    <n v="0.92307692307692302"/>
    <b v="1"/>
    <b v="1"/>
    <x v="0"/>
    <x v="1"/>
    <n v="1"/>
    <n v="0"/>
    <n v="1"/>
    <n v="0"/>
    <n v="0"/>
    <n v="10455"/>
    <n v="3887"/>
  </r>
  <r>
    <n v="43"/>
    <s v="text-s396"/>
    <x v="4"/>
    <n v="15"/>
    <n v="10"/>
    <n v="0.66666666666666596"/>
    <b v="1"/>
    <b v="1"/>
    <x v="0"/>
    <x v="1"/>
    <n v="0"/>
    <n v="0"/>
    <n v="0"/>
    <n v="0"/>
    <n v="0"/>
    <n v="7196"/>
    <n v="0"/>
  </r>
  <r>
    <n v="44"/>
    <s v="text-s355"/>
    <x v="4"/>
    <n v="23"/>
    <n v="10"/>
    <n v="0.434782608695652"/>
    <b v="1"/>
    <b v="1"/>
    <x v="0"/>
    <x v="1"/>
    <n v="4"/>
    <n v="1"/>
    <n v="0"/>
    <n v="0"/>
    <n v="3"/>
    <n v="8922"/>
    <n v="1628"/>
  </r>
  <r>
    <n v="45"/>
    <s v="text-s33"/>
    <x v="4"/>
    <n v="17"/>
    <n v="10"/>
    <n v="0.58823529411764697"/>
    <b v="1"/>
    <b v="1"/>
    <x v="0"/>
    <x v="1"/>
    <n v="9"/>
    <n v="1"/>
    <n v="0"/>
    <n v="0"/>
    <n v="8"/>
    <n v="8138"/>
    <n v="1336"/>
  </r>
  <r>
    <n v="46"/>
    <s v="text-s332"/>
    <x v="4"/>
    <n v="23"/>
    <n v="3"/>
    <n v="0.13043478260869501"/>
    <b v="1"/>
    <b v="0"/>
    <x v="0"/>
    <x v="1"/>
    <n v="0"/>
    <n v="0"/>
    <n v="0"/>
    <n v="0"/>
    <n v="0"/>
    <n v="10003"/>
    <n v="0"/>
  </r>
  <r>
    <n v="47"/>
    <s v="text-s508"/>
    <x v="4"/>
    <n v="14"/>
    <n v="10"/>
    <n v="0.71428571428571397"/>
    <b v="1"/>
    <b v="1"/>
    <x v="0"/>
    <x v="1"/>
    <n v="2"/>
    <n v="0"/>
    <n v="1"/>
    <n v="0"/>
    <n v="1"/>
    <n v="2766"/>
    <n v="3484"/>
  </r>
  <r>
    <n v="48"/>
    <s v="text-s349"/>
    <x v="4"/>
    <n v="14"/>
    <n v="9"/>
    <n v="0.64285714285714202"/>
    <b v="1"/>
    <b v="1"/>
    <x v="0"/>
    <x v="1"/>
    <n v="1"/>
    <n v="1"/>
    <n v="0"/>
    <n v="0"/>
    <n v="0"/>
    <n v="6345"/>
    <n v="1094"/>
  </r>
  <r>
    <n v="49"/>
    <s v="test-s1604"/>
    <x v="4"/>
    <n v="11"/>
    <n v="2"/>
    <n v="0.18181818181818099"/>
    <b v="1"/>
    <b v="1"/>
    <x v="0"/>
    <x v="1"/>
    <n v="2"/>
    <n v="1"/>
    <n v="0"/>
    <n v="0"/>
    <n v="1"/>
    <n v="7234"/>
    <n v="770"/>
  </r>
</pivotCacheRecords>
</file>

<file path=xl/pivotTables/_rels/pivotTable1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2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3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pivotTable1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B3E02DDE-C9C5-4D66-88B8-506D3FA5EA84}" name="PivotTable15" cacheId="43" applyNumberFormats="0" applyBorderFormats="0" applyFontFormats="0" applyPatternFormats="0" applyAlignmentFormats="0" applyWidthHeightFormats="1" dataCaption="Values" updatedVersion="8" minRefreshableVersion="3" useAutoFormatting="1" itemPrintTitles="1" createdVersion="8" indent="0" outline="1" outlineData="1" multipleFieldFilters="0">
  <location ref="P7:T13" firstHeaderRow="0" firstDataRow="1" firstDataCol="1" rowPageCount="1" colPageCount="1"/>
  <pivotFields count="17">
    <pivotField showAll="0"/>
    <pivotField showAll="0"/>
    <pivotField axis="axisRow" showAll="0">
      <items count="6">
        <item x="3"/>
        <item x="0"/>
        <item x="2"/>
        <item x="1"/>
        <item x="4"/>
        <item t="default"/>
      </items>
    </pivotField>
    <pivotField showAll="0"/>
    <pivotField showAll="0"/>
    <pivotField showAll="0"/>
    <pivotField showAll="0"/>
    <pivotField showAll="0"/>
    <pivotField showAll="0"/>
    <pivotField axis="axisPage" showAll="0">
      <items count="3">
        <item x="0"/>
        <item x="1"/>
        <item t="default"/>
      </items>
    </pivotField>
    <pivotField showAll="0"/>
    <pivotField dataField="1" showAll="0"/>
    <pivotField dataField="1" showAll="0"/>
    <pivotField dataField="1" showAll="0"/>
    <pivotField dataField="1" showAll="0"/>
    <pivotField showAll="0"/>
    <pivotField showAll="0"/>
  </pivotFields>
  <rowFields count="1">
    <field x="2"/>
  </rowFields>
  <rowItems count="6">
    <i>
      <x/>
    </i>
    <i>
      <x v="1"/>
    </i>
    <i>
      <x v="2"/>
    </i>
    <i>
      <x v="3"/>
    </i>
    <i>
      <x v="4"/>
    </i>
    <i t="grand">
      <x/>
    </i>
  </rowItems>
  <colFields count="1">
    <field x="-2"/>
  </colFields>
  <colItems count="4">
    <i>
      <x/>
    </i>
    <i i="1">
      <x v="1"/>
    </i>
    <i i="2">
      <x v="2"/>
    </i>
    <i i="3">
      <x v="3"/>
    </i>
  </colItems>
  <pageFields count="1">
    <pageField fld="9" item="1" hier="-1"/>
  </pageFields>
  <dataFields count="4">
    <dataField name="Average of lookup_morphology" fld="11" subtotal="average" baseField="2" baseItem="0"/>
    <dataField name="Average of retrieve_similar_sentences" fld="12" subtotal="average" baseField="2" baseItem="0"/>
    <dataField name="Average of retrieve_similar_sentences_bow" fld="13" subtotal="average" baseField="2" baseItem="0"/>
    <dataField name="Average of validate_dependency_tree" fld="14" subtotal="average" baseField="2" baseItem="0"/>
  </dataField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2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896D7628-1785-44A2-B5C3-F87C9AAC68BD}" name="PivotTable4" cacheId="43" applyNumberFormats="0" applyBorderFormats="0" applyFontFormats="0" applyPatternFormats="0" applyAlignmentFormats="0" applyWidthHeightFormats="1" dataCaption="Values" updatedVersion="8" minRefreshableVersion="3" useAutoFormatting="1" itemPrintTitles="1" createdVersion="8" indent="0" outline="1" outlineData="1" multipleFieldFilters="0">
  <location ref="G7:I13" firstHeaderRow="0" firstDataRow="1" firstDataCol="1" rowPageCount="1" colPageCount="1"/>
  <pivotFields count="17">
    <pivotField showAll="0"/>
    <pivotField showAll="0"/>
    <pivotField axis="axisRow" showAll="0">
      <items count="6">
        <item x="3"/>
        <item x="0"/>
        <item x="2"/>
        <item x="1"/>
        <item x="4"/>
        <item t="default"/>
      </items>
    </pivotField>
    <pivotField showAll="0"/>
    <pivotField showAll="0"/>
    <pivotField dataField="1" showAll="0"/>
    <pivotField showAll="0"/>
    <pivotField showAll="0"/>
    <pivotField showAll="0"/>
    <pivotField axis="axisPage" showAll="0">
      <items count="3">
        <item x="0"/>
        <item x="1"/>
        <item t="default"/>
      </items>
    </pivotField>
    <pivotField dataField="1" showAll="0"/>
    <pivotField showAll="0"/>
    <pivotField showAll="0"/>
    <pivotField showAll="0"/>
    <pivotField showAll="0"/>
    <pivotField showAll="0"/>
    <pivotField showAll="0"/>
  </pivotFields>
  <rowFields count="1">
    <field x="2"/>
  </rowFields>
  <rowItems count="6">
    <i>
      <x/>
    </i>
    <i>
      <x v="1"/>
    </i>
    <i>
      <x v="2"/>
    </i>
    <i>
      <x v="3"/>
    </i>
    <i>
      <x v="4"/>
    </i>
    <i t="grand">
      <x/>
    </i>
  </rowItems>
  <colFields count="1">
    <field x="-2"/>
  </colFields>
  <colItems count="2">
    <i>
      <x/>
    </i>
    <i i="1">
      <x v="1"/>
    </i>
  </colItems>
  <pageFields count="1">
    <pageField fld="9" item="0" hier="-1"/>
  </pageFields>
  <dataFields count="2">
    <dataField name="Average of n_tool_calls" fld="10" subtotal="average" baseField="2" baseItem="1"/>
    <dataField name="Average of uas" fld="5" subtotal="average" baseField="2" baseItem="2"/>
  </dataField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3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CE087914-15D4-48E2-AFE5-7E142DE93C7F}" name="PivotTable3" cacheId="43" applyNumberFormats="0" applyBorderFormats="0" applyFontFormats="0" applyPatternFormats="0" applyAlignmentFormats="0" applyWidthHeightFormats="1" dataCaption="Values" updatedVersion="8" minRefreshableVersion="3" useAutoFormatting="1" itemPrintTitles="1" createdVersion="8" indent="0" outline="1" outlineData="1" multipleFieldFilters="0">
  <location ref="B7:D13" firstHeaderRow="0" firstDataRow="1" firstDataCol="1" rowPageCount="1" colPageCount="1"/>
  <pivotFields count="17">
    <pivotField showAll="0"/>
    <pivotField showAll="0"/>
    <pivotField axis="axisRow" showAll="0">
      <items count="6">
        <item x="3"/>
        <item x="0"/>
        <item x="2"/>
        <item x="1"/>
        <item x="4"/>
        <item t="default"/>
      </items>
    </pivotField>
    <pivotField showAll="0"/>
    <pivotField showAll="0"/>
    <pivotField dataField="1" showAll="0"/>
    <pivotField showAll="0"/>
    <pivotField showAll="0"/>
    <pivotField showAll="0"/>
    <pivotField axis="axisPage" showAll="0">
      <items count="3">
        <item x="0"/>
        <item x="1"/>
        <item t="default"/>
      </items>
    </pivotField>
    <pivotField dataField="1" showAll="0"/>
    <pivotField showAll="0"/>
    <pivotField showAll="0"/>
    <pivotField showAll="0"/>
    <pivotField showAll="0"/>
    <pivotField showAll="0"/>
    <pivotField showAll="0"/>
  </pivotFields>
  <rowFields count="1">
    <field x="2"/>
  </rowFields>
  <rowItems count="6">
    <i>
      <x/>
    </i>
    <i>
      <x v="1"/>
    </i>
    <i>
      <x v="2"/>
    </i>
    <i>
      <x v="3"/>
    </i>
    <i>
      <x v="4"/>
    </i>
    <i t="grand">
      <x/>
    </i>
  </rowItems>
  <colFields count="1">
    <field x="-2"/>
  </colFields>
  <colItems count="2">
    <i>
      <x/>
    </i>
    <i i="1">
      <x v="1"/>
    </i>
  </colItems>
  <pageFields count="1">
    <pageField fld="9" item="1" hier="-1"/>
  </pageFields>
  <dataFields count="2">
    <dataField name="Average of n_tool_calls" fld="10" subtotal="average" baseField="2" baseItem="1"/>
    <dataField name="Average of uas" fld="5" subtotal="average" baseField="2" baseItem="2"/>
  </dataField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4.xml.rels><?xml version="1.0" encoding="UTF-8" standalone="yes"?>
<Relationships xmlns="http://schemas.openxmlformats.org/package/2006/relationships"><Relationship Id="rId3" Type="http://schemas.openxmlformats.org/officeDocument/2006/relationships/pivotTable" Target="../pivotTables/pivotTable3.xml"/><Relationship Id="rId2" Type="http://schemas.openxmlformats.org/officeDocument/2006/relationships/pivotTable" Target="../pivotTables/pivotTable2.xml"/><Relationship Id="rId1" Type="http://schemas.openxmlformats.org/officeDocument/2006/relationships/pivotTable" Target="../pivotTables/pivotTable1.xml"/><Relationship Id="rId4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0D8C692-1499-4903-A574-9558FA568523}">
  <dimension ref="A1:Q101"/>
  <sheetViews>
    <sheetView workbookViewId="0">
      <pane xSplit="1" ySplit="1" topLeftCell="B2" activePane="bottomRight" state="frozen"/>
      <selection pane="topRight" activeCell="B1" sqref="B1"/>
      <selection pane="bottomLeft" activeCell="A2" sqref="A2"/>
      <selection pane="bottomRight" activeCell="K13" sqref="K13"/>
    </sheetView>
  </sheetViews>
  <sheetFormatPr defaultRowHeight="14.4" x14ac:dyDescent="0.3"/>
  <cols>
    <col min="2" max="2" width="8.88671875" customWidth="1"/>
  </cols>
  <sheetData>
    <row r="1" spans="1:17" s="1" customFormat="1" x14ac:dyDescent="0.3"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  <c r="K1" s="1" t="s">
        <v>9</v>
      </c>
      <c r="L1" s="1" t="s">
        <v>10</v>
      </c>
      <c r="M1" s="1" t="s">
        <v>11</v>
      </c>
      <c r="N1" s="1" t="s">
        <v>12</v>
      </c>
      <c r="O1" s="1" t="s">
        <v>13</v>
      </c>
      <c r="P1" s="1" t="s">
        <v>14</v>
      </c>
      <c r="Q1" s="1" t="s">
        <v>15</v>
      </c>
    </row>
    <row r="2" spans="1:17" x14ac:dyDescent="0.3">
      <c r="A2">
        <v>0</v>
      </c>
      <c r="B2" t="s">
        <v>16</v>
      </c>
      <c r="C2" t="s">
        <v>17</v>
      </c>
      <c r="D2">
        <v>18</v>
      </c>
      <c r="E2">
        <v>4</v>
      </c>
      <c r="F2">
        <v>0.22222222222222199</v>
      </c>
      <c r="G2" t="b">
        <v>1</v>
      </c>
      <c r="H2" t="b">
        <v>1</v>
      </c>
      <c r="I2" t="b">
        <v>1</v>
      </c>
      <c r="J2" t="b">
        <v>0</v>
      </c>
      <c r="K2">
        <v>0</v>
      </c>
      <c r="L2">
        <v>0</v>
      </c>
      <c r="M2">
        <v>0</v>
      </c>
      <c r="N2">
        <v>0</v>
      </c>
      <c r="O2">
        <v>0</v>
      </c>
      <c r="P2">
        <v>8405</v>
      </c>
      <c r="Q2">
        <v>0</v>
      </c>
    </row>
    <row r="3" spans="1:17" x14ac:dyDescent="0.3">
      <c r="A3">
        <v>1</v>
      </c>
      <c r="B3" t="s">
        <v>18</v>
      </c>
      <c r="C3" t="s">
        <v>17</v>
      </c>
      <c r="D3">
        <v>16</v>
      </c>
      <c r="E3">
        <v>1</v>
      </c>
      <c r="F3">
        <v>6.25E-2</v>
      </c>
      <c r="G3" t="b">
        <v>1</v>
      </c>
      <c r="H3" t="b">
        <v>0</v>
      </c>
      <c r="I3" t="b">
        <v>1</v>
      </c>
      <c r="J3" t="b">
        <v>0</v>
      </c>
      <c r="K3">
        <v>0</v>
      </c>
      <c r="L3">
        <v>0</v>
      </c>
      <c r="M3">
        <v>0</v>
      </c>
      <c r="N3">
        <v>0</v>
      </c>
      <c r="O3">
        <v>0</v>
      </c>
      <c r="P3">
        <v>10003</v>
      </c>
      <c r="Q3">
        <v>0</v>
      </c>
    </row>
    <row r="4" spans="1:17" x14ac:dyDescent="0.3">
      <c r="A4">
        <v>2</v>
      </c>
      <c r="B4" t="s">
        <v>19</v>
      </c>
      <c r="C4" t="s">
        <v>17</v>
      </c>
      <c r="D4">
        <v>24</v>
      </c>
      <c r="E4">
        <v>0</v>
      </c>
      <c r="F4">
        <v>0</v>
      </c>
      <c r="G4" t="b">
        <v>0</v>
      </c>
      <c r="H4" t="b">
        <v>0</v>
      </c>
      <c r="I4" t="b">
        <v>1</v>
      </c>
      <c r="J4" t="b">
        <v>0</v>
      </c>
      <c r="K4">
        <v>0</v>
      </c>
      <c r="L4">
        <v>0</v>
      </c>
      <c r="M4">
        <v>0</v>
      </c>
      <c r="N4">
        <v>0</v>
      </c>
      <c r="O4">
        <v>0</v>
      </c>
      <c r="P4">
        <v>10004</v>
      </c>
      <c r="Q4">
        <v>0</v>
      </c>
    </row>
    <row r="5" spans="1:17" x14ac:dyDescent="0.3">
      <c r="A5">
        <v>3</v>
      </c>
      <c r="B5" t="s">
        <v>20</v>
      </c>
      <c r="C5" t="s">
        <v>17</v>
      </c>
      <c r="D5">
        <v>26</v>
      </c>
      <c r="E5">
        <v>4</v>
      </c>
      <c r="F5">
        <v>0.15384615384615299</v>
      </c>
      <c r="G5" t="b">
        <v>1</v>
      </c>
      <c r="H5" t="b">
        <v>0</v>
      </c>
      <c r="I5" t="b">
        <v>1</v>
      </c>
      <c r="J5" t="b">
        <v>0</v>
      </c>
      <c r="K5">
        <v>0</v>
      </c>
      <c r="L5">
        <v>0</v>
      </c>
      <c r="M5">
        <v>0</v>
      </c>
      <c r="N5">
        <v>0</v>
      </c>
      <c r="O5">
        <v>0</v>
      </c>
      <c r="P5">
        <v>10001</v>
      </c>
      <c r="Q5">
        <v>0</v>
      </c>
    </row>
    <row r="6" spans="1:17" x14ac:dyDescent="0.3">
      <c r="A6">
        <v>4</v>
      </c>
      <c r="B6" t="s">
        <v>21</v>
      </c>
      <c r="C6" t="s">
        <v>17</v>
      </c>
      <c r="D6">
        <v>21</v>
      </c>
      <c r="E6">
        <v>0</v>
      </c>
      <c r="F6">
        <v>0</v>
      </c>
      <c r="G6" t="b">
        <v>1</v>
      </c>
      <c r="H6" t="b">
        <v>0</v>
      </c>
      <c r="I6" t="b">
        <v>1</v>
      </c>
      <c r="J6" t="b">
        <v>0</v>
      </c>
      <c r="K6">
        <v>0</v>
      </c>
      <c r="L6">
        <v>0</v>
      </c>
      <c r="M6">
        <v>0</v>
      </c>
      <c r="N6">
        <v>0</v>
      </c>
      <c r="O6">
        <v>0</v>
      </c>
      <c r="P6">
        <v>10001</v>
      </c>
      <c r="Q6">
        <v>0</v>
      </c>
    </row>
    <row r="7" spans="1:17" x14ac:dyDescent="0.3">
      <c r="A7">
        <v>5</v>
      </c>
      <c r="B7" t="s">
        <v>22</v>
      </c>
      <c r="C7" t="s">
        <v>17</v>
      </c>
      <c r="D7">
        <v>19</v>
      </c>
      <c r="E7">
        <v>2</v>
      </c>
      <c r="F7">
        <v>0.105263157894736</v>
      </c>
      <c r="G7" t="b">
        <v>1</v>
      </c>
      <c r="H7" t="b">
        <v>0</v>
      </c>
      <c r="I7" t="b">
        <v>1</v>
      </c>
      <c r="J7" t="b">
        <v>0</v>
      </c>
      <c r="K7">
        <v>0</v>
      </c>
      <c r="L7">
        <v>0</v>
      </c>
      <c r="M7">
        <v>0</v>
      </c>
      <c r="N7">
        <v>0</v>
      </c>
      <c r="O7">
        <v>0</v>
      </c>
      <c r="P7">
        <v>10004</v>
      </c>
      <c r="Q7">
        <v>0</v>
      </c>
    </row>
    <row r="8" spans="1:17" x14ac:dyDescent="0.3">
      <c r="A8">
        <v>6</v>
      </c>
      <c r="B8" t="s">
        <v>23</v>
      </c>
      <c r="C8" t="s">
        <v>17</v>
      </c>
      <c r="D8">
        <v>10</v>
      </c>
      <c r="E8">
        <v>4</v>
      </c>
      <c r="F8">
        <v>0.4</v>
      </c>
      <c r="G8" t="b">
        <v>1</v>
      </c>
      <c r="H8" t="b">
        <v>1</v>
      </c>
      <c r="I8" t="b">
        <v>1</v>
      </c>
      <c r="J8" t="b">
        <v>0</v>
      </c>
      <c r="K8">
        <v>0</v>
      </c>
      <c r="L8">
        <v>0</v>
      </c>
      <c r="M8">
        <v>0</v>
      </c>
      <c r="N8">
        <v>0</v>
      </c>
      <c r="O8">
        <v>0</v>
      </c>
      <c r="P8">
        <v>4853</v>
      </c>
      <c r="Q8">
        <v>0</v>
      </c>
    </row>
    <row r="9" spans="1:17" x14ac:dyDescent="0.3">
      <c r="A9">
        <v>7</v>
      </c>
      <c r="B9" t="s">
        <v>24</v>
      </c>
      <c r="C9" t="s">
        <v>17</v>
      </c>
      <c r="D9">
        <v>15</v>
      </c>
      <c r="E9">
        <v>11</v>
      </c>
      <c r="F9">
        <v>0.73333333333333295</v>
      </c>
      <c r="G9" t="b">
        <v>1</v>
      </c>
      <c r="H9" t="b">
        <v>1</v>
      </c>
      <c r="I9" t="b">
        <v>1</v>
      </c>
      <c r="J9" t="b">
        <v>0</v>
      </c>
      <c r="K9">
        <v>0</v>
      </c>
      <c r="L9">
        <v>0</v>
      </c>
      <c r="M9">
        <v>0</v>
      </c>
      <c r="N9">
        <v>0</v>
      </c>
      <c r="O9">
        <v>0</v>
      </c>
      <c r="P9">
        <v>5290</v>
      </c>
      <c r="Q9">
        <v>0</v>
      </c>
    </row>
    <row r="10" spans="1:17" x14ac:dyDescent="0.3">
      <c r="A10">
        <v>8</v>
      </c>
      <c r="B10" t="s">
        <v>25</v>
      </c>
      <c r="C10" t="s">
        <v>17</v>
      </c>
      <c r="D10">
        <v>14</v>
      </c>
      <c r="E10">
        <v>1</v>
      </c>
      <c r="F10">
        <v>7.1428571428571397E-2</v>
      </c>
      <c r="G10" t="b">
        <v>1</v>
      </c>
      <c r="H10" t="b">
        <v>0</v>
      </c>
      <c r="I10" t="b">
        <v>1</v>
      </c>
      <c r="J10" t="b">
        <v>0</v>
      </c>
      <c r="K10">
        <v>0</v>
      </c>
      <c r="L10">
        <v>0</v>
      </c>
      <c r="M10">
        <v>0</v>
      </c>
      <c r="N10">
        <v>0</v>
      </c>
      <c r="O10">
        <v>0</v>
      </c>
      <c r="P10">
        <v>10004</v>
      </c>
      <c r="Q10">
        <v>0</v>
      </c>
    </row>
    <row r="11" spans="1:17" x14ac:dyDescent="0.3">
      <c r="A11">
        <v>9</v>
      </c>
      <c r="B11" t="s">
        <v>26</v>
      </c>
      <c r="C11" t="s">
        <v>17</v>
      </c>
      <c r="D11">
        <v>15</v>
      </c>
      <c r="E11">
        <v>2</v>
      </c>
      <c r="F11">
        <v>0.133333333333333</v>
      </c>
      <c r="G11" t="b">
        <v>1</v>
      </c>
      <c r="H11" t="b">
        <v>0</v>
      </c>
      <c r="I11" t="b">
        <v>1</v>
      </c>
      <c r="J11" t="b">
        <v>0</v>
      </c>
      <c r="K11">
        <v>0</v>
      </c>
      <c r="L11">
        <v>0</v>
      </c>
      <c r="M11">
        <v>0</v>
      </c>
      <c r="N11">
        <v>0</v>
      </c>
      <c r="O11">
        <v>0</v>
      </c>
      <c r="P11">
        <v>10004</v>
      </c>
      <c r="Q11">
        <v>0</v>
      </c>
    </row>
    <row r="12" spans="1:17" x14ac:dyDescent="0.3">
      <c r="A12">
        <v>10</v>
      </c>
      <c r="B12" t="s">
        <v>27</v>
      </c>
      <c r="C12" t="s">
        <v>28</v>
      </c>
      <c r="D12">
        <v>14</v>
      </c>
      <c r="E12">
        <v>2</v>
      </c>
      <c r="F12">
        <v>0.14285714285714199</v>
      </c>
      <c r="G12" t="b">
        <v>1</v>
      </c>
      <c r="H12" t="b">
        <v>1</v>
      </c>
      <c r="I12" t="b">
        <v>1</v>
      </c>
      <c r="J12" t="b">
        <v>0</v>
      </c>
      <c r="K12">
        <v>0</v>
      </c>
      <c r="L12">
        <v>0</v>
      </c>
      <c r="M12">
        <v>0</v>
      </c>
      <c r="N12">
        <v>0</v>
      </c>
      <c r="O12">
        <v>0</v>
      </c>
      <c r="P12">
        <v>10004</v>
      </c>
      <c r="Q12">
        <v>0</v>
      </c>
    </row>
    <row r="13" spans="1:17" x14ac:dyDescent="0.3">
      <c r="A13">
        <v>11</v>
      </c>
      <c r="B13" t="s">
        <v>29</v>
      </c>
      <c r="C13" t="s">
        <v>28</v>
      </c>
      <c r="D13">
        <v>13</v>
      </c>
      <c r="E13">
        <v>2</v>
      </c>
      <c r="F13">
        <v>0.15384615384615299</v>
      </c>
      <c r="G13" t="b">
        <v>1</v>
      </c>
      <c r="H13" t="b">
        <v>0</v>
      </c>
      <c r="I13" t="b">
        <v>1</v>
      </c>
      <c r="J13" t="b">
        <v>0</v>
      </c>
      <c r="K13">
        <v>0</v>
      </c>
      <c r="L13">
        <v>0</v>
      </c>
      <c r="M13">
        <v>0</v>
      </c>
      <c r="N13">
        <v>0</v>
      </c>
      <c r="O13">
        <v>0</v>
      </c>
      <c r="P13">
        <v>10004</v>
      </c>
      <c r="Q13">
        <v>0</v>
      </c>
    </row>
    <row r="14" spans="1:17" x14ac:dyDescent="0.3">
      <c r="A14">
        <v>12</v>
      </c>
      <c r="B14" t="s">
        <v>30</v>
      </c>
      <c r="C14" t="s">
        <v>28</v>
      </c>
      <c r="D14">
        <v>12</v>
      </c>
      <c r="E14">
        <v>7</v>
      </c>
      <c r="F14">
        <v>0.58333333333333304</v>
      </c>
      <c r="G14" t="b">
        <v>1</v>
      </c>
      <c r="H14" t="b">
        <v>1</v>
      </c>
      <c r="I14" t="b">
        <v>1</v>
      </c>
      <c r="J14" t="b">
        <v>0</v>
      </c>
      <c r="K14">
        <v>0</v>
      </c>
      <c r="L14">
        <v>0</v>
      </c>
      <c r="M14">
        <v>0</v>
      </c>
      <c r="N14">
        <v>0</v>
      </c>
      <c r="O14">
        <v>0</v>
      </c>
      <c r="P14">
        <v>7328</v>
      </c>
      <c r="Q14">
        <v>0</v>
      </c>
    </row>
    <row r="15" spans="1:17" x14ac:dyDescent="0.3">
      <c r="A15">
        <v>13</v>
      </c>
      <c r="B15" t="s">
        <v>31</v>
      </c>
      <c r="C15" t="s">
        <v>28</v>
      </c>
      <c r="D15">
        <v>21</v>
      </c>
      <c r="E15">
        <v>2</v>
      </c>
      <c r="F15">
        <v>9.5238095238095205E-2</v>
      </c>
      <c r="G15" t="b">
        <v>1</v>
      </c>
      <c r="H15" t="b">
        <v>0</v>
      </c>
      <c r="I15" t="b">
        <v>1</v>
      </c>
      <c r="J15" t="b">
        <v>0</v>
      </c>
      <c r="K15">
        <v>0</v>
      </c>
      <c r="L15">
        <v>0</v>
      </c>
      <c r="M15">
        <v>0</v>
      </c>
      <c r="N15">
        <v>0</v>
      </c>
      <c r="O15">
        <v>0</v>
      </c>
      <c r="P15">
        <v>10004</v>
      </c>
      <c r="Q15">
        <v>0</v>
      </c>
    </row>
    <row r="16" spans="1:17" x14ac:dyDescent="0.3">
      <c r="A16">
        <v>14</v>
      </c>
      <c r="B16" t="s">
        <v>32</v>
      </c>
      <c r="C16" t="s">
        <v>28</v>
      </c>
      <c r="D16">
        <v>23</v>
      </c>
      <c r="E16">
        <v>7</v>
      </c>
      <c r="F16">
        <v>0.30434782608695599</v>
      </c>
      <c r="G16" t="b">
        <v>1</v>
      </c>
      <c r="H16" t="b">
        <v>1</v>
      </c>
      <c r="I16" t="b">
        <v>1</v>
      </c>
      <c r="J16" t="b">
        <v>0</v>
      </c>
      <c r="K16">
        <v>0</v>
      </c>
      <c r="L16">
        <v>0</v>
      </c>
      <c r="M16">
        <v>0</v>
      </c>
      <c r="N16">
        <v>0</v>
      </c>
      <c r="O16">
        <v>0</v>
      </c>
      <c r="P16">
        <v>8815</v>
      </c>
      <c r="Q16">
        <v>0</v>
      </c>
    </row>
    <row r="17" spans="1:17" x14ac:dyDescent="0.3">
      <c r="A17">
        <v>15</v>
      </c>
      <c r="B17" t="s">
        <v>33</v>
      </c>
      <c r="C17" t="s">
        <v>28</v>
      </c>
      <c r="D17">
        <v>30</v>
      </c>
      <c r="E17">
        <v>4</v>
      </c>
      <c r="F17">
        <v>0.133333333333333</v>
      </c>
      <c r="G17" t="b">
        <v>1</v>
      </c>
      <c r="H17" t="b">
        <v>0</v>
      </c>
      <c r="I17" t="b">
        <v>1</v>
      </c>
      <c r="J17" t="b">
        <v>0</v>
      </c>
      <c r="K17">
        <v>0</v>
      </c>
      <c r="L17">
        <v>0</v>
      </c>
      <c r="M17">
        <v>0</v>
      </c>
      <c r="N17">
        <v>0</v>
      </c>
      <c r="O17">
        <v>0</v>
      </c>
      <c r="P17">
        <v>10004</v>
      </c>
      <c r="Q17">
        <v>0</v>
      </c>
    </row>
    <row r="18" spans="1:17" x14ac:dyDescent="0.3">
      <c r="A18">
        <v>16</v>
      </c>
      <c r="B18" t="s">
        <v>34</v>
      </c>
      <c r="C18" t="s">
        <v>28</v>
      </c>
      <c r="D18">
        <v>16</v>
      </c>
      <c r="E18">
        <v>3</v>
      </c>
      <c r="F18">
        <v>0.1875</v>
      </c>
      <c r="G18" t="b">
        <v>1</v>
      </c>
      <c r="H18" t="b">
        <v>1</v>
      </c>
      <c r="I18" t="b">
        <v>1</v>
      </c>
      <c r="J18" t="b">
        <v>0</v>
      </c>
      <c r="K18">
        <v>0</v>
      </c>
      <c r="L18">
        <v>0</v>
      </c>
      <c r="M18">
        <v>0</v>
      </c>
      <c r="N18">
        <v>0</v>
      </c>
      <c r="O18">
        <v>0</v>
      </c>
      <c r="P18">
        <v>9955</v>
      </c>
      <c r="Q18">
        <v>0</v>
      </c>
    </row>
    <row r="19" spans="1:17" x14ac:dyDescent="0.3">
      <c r="A19">
        <v>17</v>
      </c>
      <c r="B19" t="s">
        <v>35</v>
      </c>
      <c r="C19" t="s">
        <v>28</v>
      </c>
      <c r="D19">
        <v>22</v>
      </c>
      <c r="E19">
        <v>1</v>
      </c>
      <c r="F19">
        <v>4.54545454545454E-2</v>
      </c>
      <c r="G19" t="b">
        <v>1</v>
      </c>
      <c r="H19" t="b">
        <v>0</v>
      </c>
      <c r="I19" t="b">
        <v>1</v>
      </c>
      <c r="J19" t="b">
        <v>0</v>
      </c>
      <c r="K19">
        <v>0</v>
      </c>
      <c r="L19">
        <v>0</v>
      </c>
      <c r="M19">
        <v>0</v>
      </c>
      <c r="N19">
        <v>0</v>
      </c>
      <c r="O19">
        <v>0</v>
      </c>
      <c r="P19">
        <v>10003</v>
      </c>
      <c r="Q19">
        <v>0</v>
      </c>
    </row>
    <row r="20" spans="1:17" x14ac:dyDescent="0.3">
      <c r="A20">
        <v>18</v>
      </c>
      <c r="B20" t="s">
        <v>36</v>
      </c>
      <c r="C20" t="s">
        <v>28</v>
      </c>
      <c r="D20">
        <v>20</v>
      </c>
      <c r="E20">
        <v>7</v>
      </c>
      <c r="F20">
        <v>0.35</v>
      </c>
      <c r="G20" t="b">
        <v>1</v>
      </c>
      <c r="H20" t="b">
        <v>1</v>
      </c>
      <c r="I20" t="b">
        <v>1</v>
      </c>
      <c r="J20" t="b">
        <v>0</v>
      </c>
      <c r="K20">
        <v>0</v>
      </c>
      <c r="L20">
        <v>0</v>
      </c>
      <c r="M20">
        <v>0</v>
      </c>
      <c r="N20">
        <v>0</v>
      </c>
      <c r="O20">
        <v>0</v>
      </c>
      <c r="P20">
        <v>6544</v>
      </c>
      <c r="Q20">
        <v>0</v>
      </c>
    </row>
    <row r="21" spans="1:17" x14ac:dyDescent="0.3">
      <c r="A21">
        <v>19</v>
      </c>
      <c r="B21" t="s">
        <v>37</v>
      </c>
      <c r="C21" t="s">
        <v>28</v>
      </c>
      <c r="D21">
        <v>14</v>
      </c>
      <c r="E21">
        <v>4</v>
      </c>
      <c r="F21">
        <v>0.28571428571428498</v>
      </c>
      <c r="G21" t="b">
        <v>1</v>
      </c>
      <c r="H21" t="b">
        <v>1</v>
      </c>
      <c r="I21" t="b">
        <v>1</v>
      </c>
      <c r="J21" t="b">
        <v>0</v>
      </c>
      <c r="K21">
        <v>0</v>
      </c>
      <c r="L21">
        <v>0</v>
      </c>
      <c r="M21">
        <v>0</v>
      </c>
      <c r="N21">
        <v>0</v>
      </c>
      <c r="O21">
        <v>0</v>
      </c>
      <c r="P21">
        <v>8394</v>
      </c>
      <c r="Q21">
        <v>0</v>
      </c>
    </row>
    <row r="22" spans="1:17" x14ac:dyDescent="0.3">
      <c r="A22">
        <v>20</v>
      </c>
      <c r="B22">
        <v>1565</v>
      </c>
      <c r="C22" t="s">
        <v>38</v>
      </c>
      <c r="D22">
        <v>5</v>
      </c>
      <c r="E22">
        <v>5</v>
      </c>
      <c r="F22">
        <v>1</v>
      </c>
      <c r="G22" t="b">
        <v>1</v>
      </c>
      <c r="H22" t="b">
        <v>1</v>
      </c>
      <c r="I22" t="b">
        <v>1</v>
      </c>
      <c r="J22" t="b">
        <v>0</v>
      </c>
      <c r="K22">
        <v>0</v>
      </c>
      <c r="L22">
        <v>0</v>
      </c>
      <c r="M22">
        <v>0</v>
      </c>
      <c r="N22">
        <v>0</v>
      </c>
      <c r="O22">
        <v>0</v>
      </c>
      <c r="P22">
        <v>4496</v>
      </c>
      <c r="Q22">
        <v>0</v>
      </c>
    </row>
    <row r="23" spans="1:17" x14ac:dyDescent="0.3">
      <c r="A23">
        <v>21</v>
      </c>
      <c r="B23">
        <v>1303</v>
      </c>
      <c r="C23" t="s">
        <v>38</v>
      </c>
      <c r="D23">
        <v>5</v>
      </c>
      <c r="E23">
        <v>5</v>
      </c>
      <c r="F23">
        <v>1</v>
      </c>
      <c r="G23" t="b">
        <v>1</v>
      </c>
      <c r="H23" t="b">
        <v>1</v>
      </c>
      <c r="I23" t="b">
        <v>1</v>
      </c>
      <c r="J23" t="b">
        <v>0</v>
      </c>
      <c r="K23">
        <v>0</v>
      </c>
      <c r="L23">
        <v>0</v>
      </c>
      <c r="M23">
        <v>0</v>
      </c>
      <c r="N23">
        <v>0</v>
      </c>
      <c r="O23">
        <v>0</v>
      </c>
      <c r="P23">
        <v>5884</v>
      </c>
      <c r="Q23">
        <v>0</v>
      </c>
    </row>
    <row r="24" spans="1:17" x14ac:dyDescent="0.3">
      <c r="A24">
        <v>22</v>
      </c>
      <c r="B24">
        <v>1907</v>
      </c>
      <c r="C24" t="s">
        <v>38</v>
      </c>
      <c r="D24">
        <v>5</v>
      </c>
      <c r="E24">
        <v>3</v>
      </c>
      <c r="F24">
        <v>0.6</v>
      </c>
      <c r="G24" t="b">
        <v>1</v>
      </c>
      <c r="H24" t="b">
        <v>1</v>
      </c>
      <c r="I24" t="b">
        <v>1</v>
      </c>
      <c r="J24" t="b">
        <v>0</v>
      </c>
      <c r="K24">
        <v>0</v>
      </c>
      <c r="L24">
        <v>0</v>
      </c>
      <c r="M24">
        <v>0</v>
      </c>
      <c r="N24">
        <v>0</v>
      </c>
      <c r="O24">
        <v>0</v>
      </c>
      <c r="P24">
        <v>4157</v>
      </c>
      <c r="Q24">
        <v>0</v>
      </c>
    </row>
    <row r="25" spans="1:17" x14ac:dyDescent="0.3">
      <c r="A25">
        <v>23</v>
      </c>
      <c r="B25">
        <v>1635</v>
      </c>
      <c r="C25" t="s">
        <v>38</v>
      </c>
      <c r="D25">
        <v>6</v>
      </c>
      <c r="E25">
        <v>3</v>
      </c>
      <c r="F25">
        <v>0.5</v>
      </c>
      <c r="G25" t="b">
        <v>1</v>
      </c>
      <c r="H25" t="b">
        <v>1</v>
      </c>
      <c r="I25" t="b">
        <v>1</v>
      </c>
      <c r="J25" t="b">
        <v>0</v>
      </c>
      <c r="K25">
        <v>0</v>
      </c>
      <c r="L25">
        <v>0</v>
      </c>
      <c r="M25">
        <v>0</v>
      </c>
      <c r="N25">
        <v>0</v>
      </c>
      <c r="O25">
        <v>0</v>
      </c>
      <c r="P25">
        <v>5474</v>
      </c>
      <c r="Q25">
        <v>0</v>
      </c>
    </row>
    <row r="26" spans="1:17" x14ac:dyDescent="0.3">
      <c r="A26">
        <v>24</v>
      </c>
      <c r="B26">
        <v>1265</v>
      </c>
      <c r="C26" t="s">
        <v>38</v>
      </c>
      <c r="D26">
        <v>3</v>
      </c>
      <c r="E26">
        <v>2</v>
      </c>
      <c r="F26">
        <v>0.66666666666666596</v>
      </c>
      <c r="G26" t="b">
        <v>1</v>
      </c>
      <c r="H26" t="b">
        <v>1</v>
      </c>
      <c r="I26" t="b">
        <v>1</v>
      </c>
      <c r="J26" t="b">
        <v>0</v>
      </c>
      <c r="K26">
        <v>0</v>
      </c>
      <c r="L26">
        <v>0</v>
      </c>
      <c r="M26">
        <v>0</v>
      </c>
      <c r="N26">
        <v>0</v>
      </c>
      <c r="O26">
        <v>0</v>
      </c>
      <c r="P26">
        <v>3726</v>
      </c>
      <c r="Q26">
        <v>0</v>
      </c>
    </row>
    <row r="27" spans="1:17" x14ac:dyDescent="0.3">
      <c r="A27">
        <v>25</v>
      </c>
      <c r="B27">
        <v>943</v>
      </c>
      <c r="C27" t="s">
        <v>38</v>
      </c>
      <c r="D27">
        <v>3</v>
      </c>
      <c r="E27">
        <v>2</v>
      </c>
      <c r="F27">
        <v>0.66666666666666596</v>
      </c>
      <c r="G27" t="b">
        <v>1</v>
      </c>
      <c r="H27" t="b">
        <v>1</v>
      </c>
      <c r="I27" t="b">
        <v>1</v>
      </c>
      <c r="J27" t="b">
        <v>0</v>
      </c>
      <c r="K27">
        <v>0</v>
      </c>
      <c r="L27">
        <v>0</v>
      </c>
      <c r="M27">
        <v>0</v>
      </c>
      <c r="N27">
        <v>0</v>
      </c>
      <c r="O27">
        <v>0</v>
      </c>
      <c r="P27">
        <v>4542</v>
      </c>
      <c r="Q27">
        <v>0</v>
      </c>
    </row>
    <row r="28" spans="1:17" x14ac:dyDescent="0.3">
      <c r="A28">
        <v>26</v>
      </c>
      <c r="B28">
        <v>168</v>
      </c>
      <c r="C28" t="s">
        <v>38</v>
      </c>
      <c r="D28">
        <v>5</v>
      </c>
      <c r="E28">
        <v>5</v>
      </c>
      <c r="F28">
        <v>1</v>
      </c>
      <c r="G28" t="b">
        <v>1</v>
      </c>
      <c r="H28" t="b">
        <v>1</v>
      </c>
      <c r="I28" t="b">
        <v>1</v>
      </c>
      <c r="J28" t="b">
        <v>0</v>
      </c>
      <c r="K28">
        <v>0</v>
      </c>
      <c r="L28">
        <v>0</v>
      </c>
      <c r="M28">
        <v>0</v>
      </c>
      <c r="N28">
        <v>0</v>
      </c>
      <c r="O28">
        <v>0</v>
      </c>
      <c r="P28">
        <v>6567</v>
      </c>
      <c r="Q28">
        <v>0</v>
      </c>
    </row>
    <row r="29" spans="1:17" x14ac:dyDescent="0.3">
      <c r="A29">
        <v>27</v>
      </c>
      <c r="B29">
        <v>1231</v>
      </c>
      <c r="C29" t="s">
        <v>38</v>
      </c>
      <c r="D29">
        <v>4</v>
      </c>
      <c r="E29">
        <v>4</v>
      </c>
      <c r="F29">
        <v>1</v>
      </c>
      <c r="G29" t="b">
        <v>1</v>
      </c>
      <c r="H29" t="b">
        <v>1</v>
      </c>
      <c r="I29" t="b">
        <v>1</v>
      </c>
      <c r="J29" t="b">
        <v>0</v>
      </c>
      <c r="K29">
        <v>0</v>
      </c>
      <c r="L29">
        <v>0</v>
      </c>
      <c r="M29">
        <v>0</v>
      </c>
      <c r="N29">
        <v>0</v>
      </c>
      <c r="O29">
        <v>0</v>
      </c>
      <c r="P29">
        <v>7030</v>
      </c>
      <c r="Q29">
        <v>0</v>
      </c>
    </row>
    <row r="30" spans="1:17" x14ac:dyDescent="0.3">
      <c r="A30">
        <v>28</v>
      </c>
      <c r="B30">
        <v>1393</v>
      </c>
      <c r="C30" t="s">
        <v>38</v>
      </c>
      <c r="D30">
        <v>5</v>
      </c>
      <c r="E30">
        <v>2</v>
      </c>
      <c r="F30">
        <v>0.4</v>
      </c>
      <c r="G30" t="b">
        <v>1</v>
      </c>
      <c r="H30" t="b">
        <v>1</v>
      </c>
      <c r="I30" t="b">
        <v>1</v>
      </c>
      <c r="J30" t="b">
        <v>0</v>
      </c>
      <c r="K30">
        <v>0</v>
      </c>
      <c r="L30">
        <v>0</v>
      </c>
      <c r="M30">
        <v>0</v>
      </c>
      <c r="N30">
        <v>0</v>
      </c>
      <c r="O30">
        <v>0</v>
      </c>
      <c r="P30">
        <v>9904</v>
      </c>
      <c r="Q30">
        <v>0</v>
      </c>
    </row>
    <row r="31" spans="1:17" x14ac:dyDescent="0.3">
      <c r="A31">
        <v>29</v>
      </c>
      <c r="B31">
        <v>49</v>
      </c>
      <c r="C31" t="s">
        <v>38</v>
      </c>
      <c r="D31">
        <v>4</v>
      </c>
      <c r="E31">
        <v>4</v>
      </c>
      <c r="F31">
        <v>1</v>
      </c>
      <c r="G31" t="b">
        <v>1</v>
      </c>
      <c r="H31" t="b">
        <v>1</v>
      </c>
      <c r="I31" t="b">
        <v>1</v>
      </c>
      <c r="J31" t="b">
        <v>0</v>
      </c>
      <c r="K31">
        <v>0</v>
      </c>
      <c r="L31">
        <v>0</v>
      </c>
      <c r="M31">
        <v>0</v>
      </c>
      <c r="N31">
        <v>0</v>
      </c>
      <c r="O31">
        <v>0</v>
      </c>
      <c r="P31">
        <v>10004</v>
      </c>
      <c r="Q31">
        <v>0</v>
      </c>
    </row>
    <row r="32" spans="1:17" x14ac:dyDescent="0.3">
      <c r="A32">
        <v>30</v>
      </c>
      <c r="B32">
        <v>433</v>
      </c>
      <c r="C32" t="s">
        <v>39</v>
      </c>
      <c r="D32">
        <v>6</v>
      </c>
      <c r="E32">
        <v>5</v>
      </c>
      <c r="F32">
        <v>0.83333333333333304</v>
      </c>
      <c r="G32" t="b">
        <v>1</v>
      </c>
      <c r="H32" t="b">
        <v>1</v>
      </c>
      <c r="I32" t="b">
        <v>1</v>
      </c>
      <c r="J32" t="b">
        <v>0</v>
      </c>
      <c r="K32">
        <v>0</v>
      </c>
      <c r="L32">
        <v>0</v>
      </c>
      <c r="M32">
        <v>0</v>
      </c>
      <c r="N32">
        <v>0</v>
      </c>
      <c r="O32">
        <v>0</v>
      </c>
      <c r="P32">
        <v>8787</v>
      </c>
      <c r="Q32">
        <v>0</v>
      </c>
    </row>
    <row r="33" spans="1:17" x14ac:dyDescent="0.3">
      <c r="A33">
        <v>31</v>
      </c>
      <c r="B33">
        <v>429</v>
      </c>
      <c r="C33" t="s">
        <v>39</v>
      </c>
      <c r="D33">
        <v>5</v>
      </c>
      <c r="E33">
        <v>5</v>
      </c>
      <c r="F33">
        <v>1</v>
      </c>
      <c r="G33" t="b">
        <v>1</v>
      </c>
      <c r="H33" t="b">
        <v>1</v>
      </c>
      <c r="I33" t="b">
        <v>1</v>
      </c>
      <c r="J33" t="b">
        <v>0</v>
      </c>
      <c r="K33">
        <v>0</v>
      </c>
      <c r="L33">
        <v>0</v>
      </c>
      <c r="M33">
        <v>0</v>
      </c>
      <c r="N33">
        <v>0</v>
      </c>
      <c r="O33">
        <v>0</v>
      </c>
      <c r="P33">
        <v>7395</v>
      </c>
      <c r="Q33">
        <v>0</v>
      </c>
    </row>
    <row r="34" spans="1:17" x14ac:dyDescent="0.3">
      <c r="A34">
        <v>32</v>
      </c>
      <c r="B34">
        <v>432</v>
      </c>
      <c r="C34" t="s">
        <v>39</v>
      </c>
      <c r="D34">
        <v>6</v>
      </c>
      <c r="E34">
        <v>2</v>
      </c>
      <c r="F34">
        <v>0.33333333333333298</v>
      </c>
      <c r="G34" t="b">
        <v>1</v>
      </c>
      <c r="H34" t="b">
        <v>1</v>
      </c>
      <c r="I34" t="b">
        <v>1</v>
      </c>
      <c r="J34" t="b">
        <v>0</v>
      </c>
      <c r="K34">
        <v>0</v>
      </c>
      <c r="L34">
        <v>0</v>
      </c>
      <c r="M34">
        <v>0</v>
      </c>
      <c r="N34">
        <v>0</v>
      </c>
      <c r="O34">
        <v>0</v>
      </c>
      <c r="P34">
        <v>8303</v>
      </c>
      <c r="Q34">
        <v>0</v>
      </c>
    </row>
    <row r="35" spans="1:17" x14ac:dyDescent="0.3">
      <c r="A35">
        <v>33</v>
      </c>
      <c r="B35">
        <v>434</v>
      </c>
      <c r="C35" t="s">
        <v>39</v>
      </c>
      <c r="D35">
        <v>5</v>
      </c>
      <c r="E35">
        <v>0</v>
      </c>
      <c r="F35">
        <v>0</v>
      </c>
      <c r="G35" t="b">
        <v>1</v>
      </c>
      <c r="H35" t="b">
        <v>1</v>
      </c>
      <c r="I35" t="b">
        <v>1</v>
      </c>
      <c r="J35" t="b">
        <v>0</v>
      </c>
      <c r="K35">
        <v>0</v>
      </c>
      <c r="L35">
        <v>0</v>
      </c>
      <c r="M35">
        <v>0</v>
      </c>
      <c r="N35">
        <v>0</v>
      </c>
      <c r="O35">
        <v>0</v>
      </c>
      <c r="P35">
        <v>8091</v>
      </c>
      <c r="Q35">
        <v>0</v>
      </c>
    </row>
    <row r="36" spans="1:17" x14ac:dyDescent="0.3">
      <c r="A36">
        <v>34</v>
      </c>
      <c r="B36">
        <v>411</v>
      </c>
      <c r="C36" t="s">
        <v>39</v>
      </c>
      <c r="D36">
        <v>9</v>
      </c>
      <c r="E36">
        <v>6</v>
      </c>
      <c r="F36">
        <v>0.66666666666666596</v>
      </c>
      <c r="G36" t="b">
        <v>1</v>
      </c>
      <c r="H36" t="b">
        <v>1</v>
      </c>
      <c r="I36" t="b">
        <v>1</v>
      </c>
      <c r="J36" t="b">
        <v>0</v>
      </c>
      <c r="K36">
        <v>0</v>
      </c>
      <c r="L36">
        <v>0</v>
      </c>
      <c r="M36">
        <v>0</v>
      </c>
      <c r="N36">
        <v>0</v>
      </c>
      <c r="O36">
        <v>0</v>
      </c>
      <c r="P36">
        <v>4047</v>
      </c>
      <c r="Q36">
        <v>0</v>
      </c>
    </row>
    <row r="37" spans="1:17" x14ac:dyDescent="0.3">
      <c r="A37">
        <v>35</v>
      </c>
      <c r="B37">
        <v>418</v>
      </c>
      <c r="C37" t="s">
        <v>39</v>
      </c>
      <c r="D37">
        <v>6</v>
      </c>
      <c r="E37">
        <v>4</v>
      </c>
      <c r="F37">
        <v>0.66666666666666596</v>
      </c>
      <c r="G37" t="b">
        <v>1</v>
      </c>
      <c r="H37" t="b">
        <v>1</v>
      </c>
      <c r="I37" t="b">
        <v>1</v>
      </c>
      <c r="J37" t="b">
        <v>0</v>
      </c>
      <c r="K37">
        <v>0</v>
      </c>
      <c r="L37">
        <v>0</v>
      </c>
      <c r="M37">
        <v>0</v>
      </c>
      <c r="N37">
        <v>0</v>
      </c>
      <c r="O37">
        <v>0</v>
      </c>
      <c r="P37">
        <v>2512</v>
      </c>
      <c r="Q37">
        <v>0</v>
      </c>
    </row>
    <row r="38" spans="1:17" x14ac:dyDescent="0.3">
      <c r="A38">
        <v>36</v>
      </c>
      <c r="B38">
        <v>400</v>
      </c>
      <c r="C38" t="s">
        <v>39</v>
      </c>
      <c r="D38">
        <v>6</v>
      </c>
      <c r="E38">
        <v>4</v>
      </c>
      <c r="F38">
        <v>0.66666666666666596</v>
      </c>
      <c r="G38" t="b">
        <v>1</v>
      </c>
      <c r="H38" t="b">
        <v>1</v>
      </c>
      <c r="I38" t="b">
        <v>1</v>
      </c>
      <c r="J38" t="b">
        <v>0</v>
      </c>
      <c r="K38">
        <v>0</v>
      </c>
      <c r="L38">
        <v>0</v>
      </c>
      <c r="M38">
        <v>0</v>
      </c>
      <c r="N38">
        <v>0</v>
      </c>
      <c r="O38">
        <v>0</v>
      </c>
      <c r="P38">
        <v>6868</v>
      </c>
      <c r="Q38">
        <v>0</v>
      </c>
    </row>
    <row r="39" spans="1:17" x14ac:dyDescent="0.3">
      <c r="A39">
        <v>37</v>
      </c>
      <c r="B39">
        <v>397</v>
      </c>
      <c r="C39" t="s">
        <v>39</v>
      </c>
      <c r="D39">
        <v>6</v>
      </c>
      <c r="E39">
        <v>0</v>
      </c>
      <c r="F39">
        <v>0</v>
      </c>
      <c r="G39" t="b">
        <v>1</v>
      </c>
      <c r="H39" t="b">
        <v>1</v>
      </c>
      <c r="I39" t="b">
        <v>1</v>
      </c>
      <c r="J39" t="b">
        <v>0</v>
      </c>
      <c r="K39">
        <v>0</v>
      </c>
      <c r="L39">
        <v>0</v>
      </c>
      <c r="M39">
        <v>0</v>
      </c>
      <c r="N39">
        <v>0</v>
      </c>
      <c r="O39">
        <v>0</v>
      </c>
      <c r="P39">
        <v>9506</v>
      </c>
      <c r="Q39">
        <v>0</v>
      </c>
    </row>
    <row r="40" spans="1:17" x14ac:dyDescent="0.3">
      <c r="A40">
        <v>38</v>
      </c>
      <c r="B40">
        <v>414</v>
      </c>
      <c r="C40" t="s">
        <v>39</v>
      </c>
      <c r="D40">
        <v>10</v>
      </c>
      <c r="E40">
        <v>5</v>
      </c>
      <c r="F40">
        <v>0.5</v>
      </c>
      <c r="G40" t="b">
        <v>1</v>
      </c>
      <c r="H40" t="b">
        <v>1</v>
      </c>
      <c r="I40" t="b">
        <v>1</v>
      </c>
      <c r="J40" t="b">
        <v>0</v>
      </c>
      <c r="K40">
        <v>0</v>
      </c>
      <c r="L40">
        <v>0</v>
      </c>
      <c r="M40">
        <v>0</v>
      </c>
      <c r="N40">
        <v>0</v>
      </c>
      <c r="O40">
        <v>0</v>
      </c>
      <c r="P40">
        <v>6310</v>
      </c>
      <c r="Q40">
        <v>0</v>
      </c>
    </row>
    <row r="41" spans="1:17" x14ac:dyDescent="0.3">
      <c r="A41">
        <v>39</v>
      </c>
      <c r="B41">
        <v>399</v>
      </c>
      <c r="C41" t="s">
        <v>39</v>
      </c>
      <c r="D41">
        <v>8</v>
      </c>
      <c r="E41">
        <v>7</v>
      </c>
      <c r="F41">
        <v>0.875</v>
      </c>
      <c r="G41" t="b">
        <v>1</v>
      </c>
      <c r="H41" t="b">
        <v>1</v>
      </c>
      <c r="I41" t="b">
        <v>1</v>
      </c>
      <c r="J41" t="b">
        <v>0</v>
      </c>
      <c r="K41">
        <v>0</v>
      </c>
      <c r="L41">
        <v>0</v>
      </c>
      <c r="M41">
        <v>0</v>
      </c>
      <c r="N41">
        <v>0</v>
      </c>
      <c r="O41">
        <v>0</v>
      </c>
      <c r="P41">
        <v>6502</v>
      </c>
      <c r="Q41">
        <v>0</v>
      </c>
    </row>
    <row r="42" spans="1:17" x14ac:dyDescent="0.3">
      <c r="A42">
        <v>40</v>
      </c>
      <c r="B42" t="s">
        <v>40</v>
      </c>
      <c r="C42" t="s">
        <v>41</v>
      </c>
      <c r="D42">
        <v>20</v>
      </c>
      <c r="E42">
        <v>12</v>
      </c>
      <c r="F42">
        <v>0.6</v>
      </c>
      <c r="G42" t="b">
        <v>1</v>
      </c>
      <c r="H42" t="b">
        <v>1</v>
      </c>
      <c r="I42" t="b">
        <v>1</v>
      </c>
      <c r="J42" t="b">
        <v>0</v>
      </c>
      <c r="K42">
        <v>0</v>
      </c>
      <c r="L42">
        <v>0</v>
      </c>
      <c r="M42">
        <v>0</v>
      </c>
      <c r="N42">
        <v>0</v>
      </c>
      <c r="O42">
        <v>0</v>
      </c>
      <c r="P42">
        <v>9039</v>
      </c>
      <c r="Q42">
        <v>0</v>
      </c>
    </row>
    <row r="43" spans="1:17" x14ac:dyDescent="0.3">
      <c r="A43">
        <v>41</v>
      </c>
      <c r="B43" t="s">
        <v>42</v>
      </c>
      <c r="C43" t="s">
        <v>41</v>
      </c>
      <c r="D43">
        <v>12</v>
      </c>
      <c r="E43">
        <v>2</v>
      </c>
      <c r="F43">
        <v>0.16666666666666599</v>
      </c>
      <c r="G43" t="b">
        <v>1</v>
      </c>
      <c r="H43" t="b">
        <v>0</v>
      </c>
      <c r="I43" t="b">
        <v>1</v>
      </c>
      <c r="J43" t="b">
        <v>0</v>
      </c>
      <c r="K43">
        <v>0</v>
      </c>
      <c r="L43">
        <v>0</v>
      </c>
      <c r="M43">
        <v>0</v>
      </c>
      <c r="N43">
        <v>0</v>
      </c>
      <c r="O43">
        <v>0</v>
      </c>
      <c r="P43">
        <v>10006</v>
      </c>
      <c r="Q43">
        <v>0</v>
      </c>
    </row>
    <row r="44" spans="1:17" x14ac:dyDescent="0.3">
      <c r="A44">
        <v>42</v>
      </c>
      <c r="B44" t="s">
        <v>43</v>
      </c>
      <c r="C44" t="s">
        <v>41</v>
      </c>
      <c r="D44">
        <v>14</v>
      </c>
      <c r="E44">
        <v>3</v>
      </c>
      <c r="F44">
        <v>0.214285714285714</v>
      </c>
      <c r="G44" t="b">
        <v>1</v>
      </c>
      <c r="H44" t="b">
        <v>0</v>
      </c>
      <c r="I44" t="b">
        <v>1</v>
      </c>
      <c r="J44" t="b">
        <v>0</v>
      </c>
      <c r="K44">
        <v>0</v>
      </c>
      <c r="L44">
        <v>0</v>
      </c>
      <c r="M44">
        <v>0</v>
      </c>
      <c r="N44">
        <v>0</v>
      </c>
      <c r="O44">
        <v>0</v>
      </c>
      <c r="P44">
        <v>10003</v>
      </c>
      <c r="Q44">
        <v>0</v>
      </c>
    </row>
    <row r="45" spans="1:17" x14ac:dyDescent="0.3">
      <c r="A45">
        <v>43</v>
      </c>
      <c r="B45" t="s">
        <v>44</v>
      </c>
      <c r="C45" t="s">
        <v>41</v>
      </c>
      <c r="D45">
        <v>17</v>
      </c>
      <c r="E45">
        <v>11</v>
      </c>
      <c r="F45">
        <v>0.64705882352941102</v>
      </c>
      <c r="G45" t="b">
        <v>1</v>
      </c>
      <c r="H45" t="b">
        <v>1</v>
      </c>
      <c r="I45" t="b">
        <v>1</v>
      </c>
      <c r="J45" t="b">
        <v>0</v>
      </c>
      <c r="K45">
        <v>0</v>
      </c>
      <c r="L45">
        <v>0</v>
      </c>
      <c r="M45">
        <v>0</v>
      </c>
      <c r="N45">
        <v>0</v>
      </c>
      <c r="O45">
        <v>0</v>
      </c>
      <c r="P45">
        <v>6424</v>
      </c>
      <c r="Q45">
        <v>0</v>
      </c>
    </row>
    <row r="46" spans="1:17" x14ac:dyDescent="0.3">
      <c r="A46">
        <v>44</v>
      </c>
      <c r="B46" t="s">
        <v>45</v>
      </c>
      <c r="C46" t="s">
        <v>41</v>
      </c>
      <c r="D46">
        <v>13</v>
      </c>
      <c r="E46">
        <v>13</v>
      </c>
      <c r="F46">
        <v>1</v>
      </c>
      <c r="G46" t="b">
        <v>1</v>
      </c>
      <c r="H46" t="b">
        <v>1</v>
      </c>
      <c r="I46" t="b">
        <v>1</v>
      </c>
      <c r="J46" t="b">
        <v>0</v>
      </c>
      <c r="K46">
        <v>0</v>
      </c>
      <c r="L46">
        <v>0</v>
      </c>
      <c r="M46">
        <v>0</v>
      </c>
      <c r="N46">
        <v>0</v>
      </c>
      <c r="O46">
        <v>0</v>
      </c>
      <c r="P46">
        <v>8763</v>
      </c>
      <c r="Q46">
        <v>0</v>
      </c>
    </row>
    <row r="47" spans="1:17" x14ac:dyDescent="0.3">
      <c r="A47">
        <v>45</v>
      </c>
      <c r="B47" t="s">
        <v>46</v>
      </c>
      <c r="C47" t="s">
        <v>41</v>
      </c>
      <c r="D47">
        <v>15</v>
      </c>
      <c r="E47">
        <v>9</v>
      </c>
      <c r="F47">
        <v>0.6</v>
      </c>
      <c r="G47" t="b">
        <v>1</v>
      </c>
      <c r="H47" t="b">
        <v>1</v>
      </c>
      <c r="I47" t="b">
        <v>1</v>
      </c>
      <c r="J47" t="b">
        <v>0</v>
      </c>
      <c r="K47">
        <v>0</v>
      </c>
      <c r="L47">
        <v>0</v>
      </c>
      <c r="M47">
        <v>0</v>
      </c>
      <c r="N47">
        <v>0</v>
      </c>
      <c r="O47">
        <v>0</v>
      </c>
      <c r="P47">
        <v>6484</v>
      </c>
      <c r="Q47">
        <v>0</v>
      </c>
    </row>
    <row r="48" spans="1:17" x14ac:dyDescent="0.3">
      <c r="A48">
        <v>46</v>
      </c>
      <c r="B48" t="s">
        <v>47</v>
      </c>
      <c r="C48" t="s">
        <v>41</v>
      </c>
      <c r="D48">
        <v>11</v>
      </c>
      <c r="E48">
        <v>1</v>
      </c>
      <c r="F48">
        <v>9.0909090909090898E-2</v>
      </c>
      <c r="G48" t="b">
        <v>1</v>
      </c>
      <c r="H48" t="b">
        <v>1</v>
      </c>
      <c r="I48" t="b">
        <v>1</v>
      </c>
      <c r="J48" t="b">
        <v>0</v>
      </c>
      <c r="K48">
        <v>0</v>
      </c>
      <c r="L48">
        <v>0</v>
      </c>
      <c r="M48">
        <v>0</v>
      </c>
      <c r="N48">
        <v>0</v>
      </c>
      <c r="O48">
        <v>0</v>
      </c>
      <c r="P48">
        <v>6168</v>
      </c>
      <c r="Q48">
        <v>0</v>
      </c>
    </row>
    <row r="49" spans="1:17" x14ac:dyDescent="0.3">
      <c r="A49">
        <v>47</v>
      </c>
      <c r="B49" t="s">
        <v>48</v>
      </c>
      <c r="C49" t="s">
        <v>41</v>
      </c>
      <c r="D49">
        <v>23</v>
      </c>
      <c r="E49">
        <v>14</v>
      </c>
      <c r="F49">
        <v>0.60869565217391297</v>
      </c>
      <c r="G49" t="b">
        <v>1</v>
      </c>
      <c r="H49" t="b">
        <v>1</v>
      </c>
      <c r="I49" t="b">
        <v>1</v>
      </c>
      <c r="J49" t="b">
        <v>0</v>
      </c>
      <c r="K49">
        <v>0</v>
      </c>
      <c r="L49">
        <v>0</v>
      </c>
      <c r="M49">
        <v>0</v>
      </c>
      <c r="N49">
        <v>0</v>
      </c>
      <c r="O49">
        <v>0</v>
      </c>
      <c r="P49">
        <v>9377</v>
      </c>
      <c r="Q49">
        <v>0</v>
      </c>
    </row>
    <row r="50" spans="1:17" x14ac:dyDescent="0.3">
      <c r="A50">
        <v>48</v>
      </c>
      <c r="B50" t="s">
        <v>49</v>
      </c>
      <c r="C50" t="s">
        <v>41</v>
      </c>
      <c r="D50">
        <v>23</v>
      </c>
      <c r="E50">
        <v>12</v>
      </c>
      <c r="F50">
        <v>0.52173913043478204</v>
      </c>
      <c r="G50" t="b">
        <v>1</v>
      </c>
      <c r="H50" t="b">
        <v>1</v>
      </c>
      <c r="I50" t="b">
        <v>1</v>
      </c>
      <c r="J50" t="b">
        <v>0</v>
      </c>
      <c r="K50">
        <v>0</v>
      </c>
      <c r="L50">
        <v>0</v>
      </c>
      <c r="M50">
        <v>0</v>
      </c>
      <c r="N50">
        <v>0</v>
      </c>
      <c r="O50">
        <v>0</v>
      </c>
      <c r="P50">
        <v>7285</v>
      </c>
      <c r="Q50">
        <v>0</v>
      </c>
    </row>
    <row r="51" spans="1:17" x14ac:dyDescent="0.3">
      <c r="A51">
        <v>49</v>
      </c>
      <c r="B51" t="s">
        <v>50</v>
      </c>
      <c r="C51" t="s">
        <v>41</v>
      </c>
      <c r="D51">
        <v>14</v>
      </c>
      <c r="E51">
        <v>11</v>
      </c>
      <c r="F51">
        <v>0.78571428571428503</v>
      </c>
      <c r="G51" t="b">
        <v>1</v>
      </c>
      <c r="H51" t="b">
        <v>1</v>
      </c>
      <c r="I51" t="b">
        <v>1</v>
      </c>
      <c r="J51" t="b">
        <v>0</v>
      </c>
      <c r="K51">
        <v>0</v>
      </c>
      <c r="L51">
        <v>0</v>
      </c>
      <c r="M51">
        <v>0</v>
      </c>
      <c r="N51">
        <v>0</v>
      </c>
      <c r="O51">
        <v>0</v>
      </c>
      <c r="P51">
        <v>6752</v>
      </c>
      <c r="Q51">
        <v>0</v>
      </c>
    </row>
    <row r="52" spans="1:17" x14ac:dyDescent="0.3">
      <c r="A52">
        <v>0</v>
      </c>
      <c r="B52" t="s">
        <v>18</v>
      </c>
      <c r="C52" t="s">
        <v>17</v>
      </c>
      <c r="D52">
        <v>16</v>
      </c>
      <c r="E52">
        <v>11</v>
      </c>
      <c r="F52">
        <v>0.6875</v>
      </c>
      <c r="G52" t="b">
        <v>1</v>
      </c>
      <c r="H52" t="b">
        <v>1</v>
      </c>
      <c r="I52" t="b">
        <v>0</v>
      </c>
      <c r="J52" t="b">
        <v>1</v>
      </c>
      <c r="K52">
        <v>1</v>
      </c>
      <c r="L52">
        <v>0</v>
      </c>
      <c r="M52">
        <v>1</v>
      </c>
      <c r="N52">
        <v>0</v>
      </c>
      <c r="O52">
        <v>0</v>
      </c>
      <c r="P52">
        <v>2417</v>
      </c>
      <c r="Q52">
        <v>1745</v>
      </c>
    </row>
    <row r="53" spans="1:17" x14ac:dyDescent="0.3">
      <c r="A53">
        <v>1</v>
      </c>
      <c r="B53" t="s">
        <v>24</v>
      </c>
      <c r="C53" t="s">
        <v>17</v>
      </c>
      <c r="D53">
        <v>15</v>
      </c>
      <c r="E53">
        <v>5</v>
      </c>
      <c r="F53">
        <v>0.33333333333333298</v>
      </c>
      <c r="G53" t="b">
        <v>1</v>
      </c>
      <c r="H53" t="b">
        <v>1</v>
      </c>
      <c r="I53" t="b">
        <v>0</v>
      </c>
      <c r="J53" t="b">
        <v>1</v>
      </c>
      <c r="K53">
        <v>0</v>
      </c>
      <c r="L53">
        <v>0</v>
      </c>
      <c r="M53">
        <v>0</v>
      </c>
      <c r="N53">
        <v>0</v>
      </c>
      <c r="O53">
        <v>0</v>
      </c>
      <c r="P53">
        <v>2291</v>
      </c>
      <c r="Q53">
        <v>0</v>
      </c>
    </row>
    <row r="54" spans="1:17" x14ac:dyDescent="0.3">
      <c r="A54">
        <v>2</v>
      </c>
      <c r="B54" t="s">
        <v>16</v>
      </c>
      <c r="C54" t="s">
        <v>17</v>
      </c>
      <c r="D54">
        <v>18</v>
      </c>
      <c r="E54">
        <v>1</v>
      </c>
      <c r="F54">
        <v>5.5555555555555497E-2</v>
      </c>
      <c r="G54" t="b">
        <v>1</v>
      </c>
      <c r="H54" t="b">
        <v>1</v>
      </c>
      <c r="I54" t="b">
        <v>0</v>
      </c>
      <c r="J54" t="b">
        <v>1</v>
      </c>
      <c r="K54">
        <v>1</v>
      </c>
      <c r="L54">
        <v>0</v>
      </c>
      <c r="M54">
        <v>1</v>
      </c>
      <c r="N54">
        <v>0</v>
      </c>
      <c r="O54">
        <v>0</v>
      </c>
      <c r="P54">
        <v>2114</v>
      </c>
      <c r="Q54">
        <v>1386</v>
      </c>
    </row>
    <row r="55" spans="1:17" x14ac:dyDescent="0.3">
      <c r="A55">
        <v>3</v>
      </c>
      <c r="B55" t="s">
        <v>23</v>
      </c>
      <c r="C55" t="s">
        <v>17</v>
      </c>
      <c r="D55">
        <v>10</v>
      </c>
      <c r="E55">
        <v>5</v>
      </c>
      <c r="F55">
        <v>0.5</v>
      </c>
      <c r="G55" t="b">
        <v>1</v>
      </c>
      <c r="H55" t="b">
        <v>1</v>
      </c>
      <c r="I55" t="b">
        <v>1</v>
      </c>
      <c r="J55" t="b">
        <v>1</v>
      </c>
      <c r="K55">
        <v>3</v>
      </c>
      <c r="L55">
        <v>0</v>
      </c>
      <c r="M55">
        <v>1</v>
      </c>
      <c r="N55">
        <v>0</v>
      </c>
      <c r="O55">
        <v>2</v>
      </c>
      <c r="P55">
        <v>3157</v>
      </c>
      <c r="Q55">
        <v>2260</v>
      </c>
    </row>
    <row r="56" spans="1:17" x14ac:dyDescent="0.3">
      <c r="A56">
        <v>4</v>
      </c>
      <c r="B56" t="s">
        <v>20</v>
      </c>
      <c r="C56" t="s">
        <v>17</v>
      </c>
      <c r="D56">
        <v>26</v>
      </c>
      <c r="E56">
        <v>6</v>
      </c>
      <c r="F56">
        <v>0.23076923076923</v>
      </c>
      <c r="G56" t="b">
        <v>1</v>
      </c>
      <c r="H56" t="b">
        <v>1</v>
      </c>
      <c r="I56" t="b">
        <v>0</v>
      </c>
      <c r="J56" t="b">
        <v>1</v>
      </c>
      <c r="K56">
        <v>2</v>
      </c>
      <c r="L56">
        <v>1</v>
      </c>
      <c r="M56">
        <v>0</v>
      </c>
      <c r="N56">
        <v>0</v>
      </c>
      <c r="O56">
        <v>1</v>
      </c>
      <c r="P56">
        <v>2653</v>
      </c>
      <c r="Q56">
        <v>841</v>
      </c>
    </row>
    <row r="57" spans="1:17" x14ac:dyDescent="0.3">
      <c r="A57">
        <v>5</v>
      </c>
      <c r="B57" t="s">
        <v>26</v>
      </c>
      <c r="C57" t="s">
        <v>17</v>
      </c>
      <c r="D57">
        <v>15</v>
      </c>
      <c r="E57">
        <v>7</v>
      </c>
      <c r="F57">
        <v>0.46666666666666601</v>
      </c>
      <c r="G57" t="b">
        <v>1</v>
      </c>
      <c r="H57" t="b">
        <v>1</v>
      </c>
      <c r="I57" t="b">
        <v>0</v>
      </c>
      <c r="J57" t="b">
        <v>1</v>
      </c>
      <c r="K57">
        <v>0</v>
      </c>
      <c r="L57">
        <v>0</v>
      </c>
      <c r="M57">
        <v>0</v>
      </c>
      <c r="N57">
        <v>0</v>
      </c>
      <c r="O57">
        <v>0</v>
      </c>
      <c r="P57">
        <v>1142</v>
      </c>
      <c r="Q57">
        <v>0</v>
      </c>
    </row>
    <row r="58" spans="1:17" x14ac:dyDescent="0.3">
      <c r="A58">
        <v>6</v>
      </c>
      <c r="B58" t="s">
        <v>22</v>
      </c>
      <c r="C58" t="s">
        <v>17</v>
      </c>
      <c r="D58">
        <v>19</v>
      </c>
      <c r="E58">
        <v>2</v>
      </c>
      <c r="F58">
        <v>0.105263157894736</v>
      </c>
      <c r="G58" t="b">
        <v>1</v>
      </c>
      <c r="H58" t="b">
        <v>1</v>
      </c>
      <c r="I58" t="b">
        <v>1</v>
      </c>
      <c r="J58" t="b">
        <v>1</v>
      </c>
      <c r="K58">
        <v>0</v>
      </c>
      <c r="L58">
        <v>0</v>
      </c>
      <c r="M58">
        <v>0</v>
      </c>
      <c r="N58">
        <v>0</v>
      </c>
      <c r="O58">
        <v>0</v>
      </c>
      <c r="P58">
        <v>10000</v>
      </c>
      <c r="Q58">
        <v>0</v>
      </c>
    </row>
    <row r="59" spans="1:17" x14ac:dyDescent="0.3">
      <c r="A59">
        <v>7</v>
      </c>
      <c r="B59" t="s">
        <v>25</v>
      </c>
      <c r="C59" t="s">
        <v>17</v>
      </c>
      <c r="D59">
        <v>14</v>
      </c>
      <c r="E59">
        <v>9</v>
      </c>
      <c r="F59">
        <v>0.64285714285714202</v>
      </c>
      <c r="G59" t="b">
        <v>1</v>
      </c>
      <c r="H59" t="b">
        <v>1</v>
      </c>
      <c r="I59" t="b">
        <v>1</v>
      </c>
      <c r="J59" t="b">
        <v>1</v>
      </c>
      <c r="K59">
        <v>0</v>
      </c>
      <c r="L59">
        <v>0</v>
      </c>
      <c r="M59">
        <v>0</v>
      </c>
      <c r="N59">
        <v>0</v>
      </c>
      <c r="O59">
        <v>0</v>
      </c>
      <c r="P59">
        <v>2445</v>
      </c>
      <c r="Q59">
        <v>0</v>
      </c>
    </row>
    <row r="60" spans="1:17" x14ac:dyDescent="0.3">
      <c r="A60">
        <v>8</v>
      </c>
      <c r="B60" t="s">
        <v>19</v>
      </c>
      <c r="C60" t="s">
        <v>17</v>
      </c>
      <c r="D60">
        <v>24</v>
      </c>
      <c r="E60">
        <v>0</v>
      </c>
      <c r="F60">
        <v>0</v>
      </c>
      <c r="G60" t="b">
        <v>0</v>
      </c>
      <c r="H60" t="b">
        <v>1</v>
      </c>
      <c r="I60" t="b">
        <v>1</v>
      </c>
      <c r="J60" t="b">
        <v>1</v>
      </c>
      <c r="K60">
        <v>0</v>
      </c>
      <c r="L60">
        <v>0</v>
      </c>
      <c r="M60">
        <v>0</v>
      </c>
      <c r="N60">
        <v>0</v>
      </c>
      <c r="O60">
        <v>0</v>
      </c>
      <c r="P60">
        <v>10001</v>
      </c>
      <c r="Q60">
        <v>0</v>
      </c>
    </row>
    <row r="61" spans="1:17" x14ac:dyDescent="0.3">
      <c r="A61">
        <v>9</v>
      </c>
      <c r="B61" t="s">
        <v>21</v>
      </c>
      <c r="C61" t="s">
        <v>17</v>
      </c>
      <c r="D61">
        <v>21</v>
      </c>
      <c r="E61">
        <v>7</v>
      </c>
      <c r="F61">
        <v>0.33333333333333298</v>
      </c>
      <c r="G61" t="b">
        <v>1</v>
      </c>
      <c r="H61" t="b">
        <v>1</v>
      </c>
      <c r="I61" t="b">
        <v>0</v>
      </c>
      <c r="J61" t="b">
        <v>1</v>
      </c>
      <c r="K61">
        <v>0</v>
      </c>
      <c r="L61">
        <v>0</v>
      </c>
      <c r="M61">
        <v>0</v>
      </c>
      <c r="N61">
        <v>0</v>
      </c>
      <c r="O61">
        <v>0</v>
      </c>
      <c r="P61">
        <v>1143</v>
      </c>
      <c r="Q61">
        <v>0</v>
      </c>
    </row>
    <row r="62" spans="1:17" x14ac:dyDescent="0.3">
      <c r="A62">
        <v>10</v>
      </c>
      <c r="B62" t="s">
        <v>34</v>
      </c>
      <c r="C62" t="s">
        <v>28</v>
      </c>
      <c r="D62">
        <v>16</v>
      </c>
      <c r="E62">
        <v>3</v>
      </c>
      <c r="F62">
        <v>0.1875</v>
      </c>
      <c r="G62" t="b">
        <v>1</v>
      </c>
      <c r="H62" t="b">
        <v>1</v>
      </c>
      <c r="I62" t="b">
        <v>1</v>
      </c>
      <c r="J62" t="b">
        <v>1</v>
      </c>
      <c r="K62">
        <v>0</v>
      </c>
      <c r="L62">
        <v>0</v>
      </c>
      <c r="M62">
        <v>0</v>
      </c>
      <c r="N62">
        <v>0</v>
      </c>
      <c r="O62">
        <v>0</v>
      </c>
      <c r="P62">
        <v>8883</v>
      </c>
      <c r="Q62">
        <v>0</v>
      </c>
    </row>
    <row r="63" spans="1:17" x14ac:dyDescent="0.3">
      <c r="A63">
        <v>11</v>
      </c>
      <c r="B63" t="s">
        <v>30</v>
      </c>
      <c r="C63" t="s">
        <v>28</v>
      </c>
      <c r="D63">
        <v>12</v>
      </c>
      <c r="E63">
        <v>5</v>
      </c>
      <c r="F63">
        <v>0.41666666666666602</v>
      </c>
      <c r="G63" t="b">
        <v>1</v>
      </c>
      <c r="H63" t="b">
        <v>1</v>
      </c>
      <c r="I63" t="b">
        <v>1</v>
      </c>
      <c r="J63" t="b">
        <v>1</v>
      </c>
      <c r="K63">
        <v>2</v>
      </c>
      <c r="L63">
        <v>1</v>
      </c>
      <c r="M63">
        <v>0</v>
      </c>
      <c r="N63">
        <v>0</v>
      </c>
      <c r="O63">
        <v>1</v>
      </c>
      <c r="P63">
        <v>2799</v>
      </c>
      <c r="Q63">
        <v>858</v>
      </c>
    </row>
    <row r="64" spans="1:17" x14ac:dyDescent="0.3">
      <c r="A64">
        <v>12</v>
      </c>
      <c r="B64" t="s">
        <v>27</v>
      </c>
      <c r="C64" t="s">
        <v>28</v>
      </c>
      <c r="D64">
        <v>14</v>
      </c>
      <c r="E64">
        <v>10</v>
      </c>
      <c r="F64">
        <v>0.71428571428571397</v>
      </c>
      <c r="G64" t="b">
        <v>1</v>
      </c>
      <c r="H64" t="b">
        <v>1</v>
      </c>
      <c r="I64" t="b">
        <v>1</v>
      </c>
      <c r="J64" t="b">
        <v>1</v>
      </c>
      <c r="K64">
        <v>4</v>
      </c>
      <c r="L64">
        <v>1</v>
      </c>
      <c r="M64">
        <v>1</v>
      </c>
      <c r="N64">
        <v>0</v>
      </c>
      <c r="O64">
        <v>2</v>
      </c>
      <c r="P64">
        <v>9913</v>
      </c>
      <c r="Q64">
        <v>3667</v>
      </c>
    </row>
    <row r="65" spans="1:17" x14ac:dyDescent="0.3">
      <c r="A65">
        <v>13</v>
      </c>
      <c r="B65" t="s">
        <v>37</v>
      </c>
      <c r="C65" t="s">
        <v>28</v>
      </c>
      <c r="D65">
        <v>14</v>
      </c>
      <c r="E65">
        <v>5</v>
      </c>
      <c r="F65">
        <v>0.35714285714285698</v>
      </c>
      <c r="G65" t="b">
        <v>1</v>
      </c>
      <c r="H65" t="b">
        <v>1</v>
      </c>
      <c r="I65" t="b">
        <v>1</v>
      </c>
      <c r="J65" t="b">
        <v>1</v>
      </c>
      <c r="K65">
        <v>0</v>
      </c>
      <c r="L65">
        <v>0</v>
      </c>
      <c r="M65">
        <v>0</v>
      </c>
      <c r="N65">
        <v>0</v>
      </c>
      <c r="O65">
        <v>0</v>
      </c>
      <c r="P65">
        <v>7457</v>
      </c>
      <c r="Q65">
        <v>0</v>
      </c>
    </row>
    <row r="66" spans="1:17" x14ac:dyDescent="0.3">
      <c r="A66">
        <v>14</v>
      </c>
      <c r="B66" t="s">
        <v>29</v>
      </c>
      <c r="C66" t="s">
        <v>28</v>
      </c>
      <c r="D66">
        <v>13</v>
      </c>
      <c r="E66">
        <v>5</v>
      </c>
      <c r="F66">
        <v>0.38461538461538403</v>
      </c>
      <c r="G66" t="b">
        <v>1</v>
      </c>
      <c r="H66" t="b">
        <v>1</v>
      </c>
      <c r="I66" t="b">
        <v>0</v>
      </c>
      <c r="J66" t="b">
        <v>1</v>
      </c>
      <c r="K66">
        <v>0</v>
      </c>
      <c r="L66">
        <v>0</v>
      </c>
      <c r="M66">
        <v>0</v>
      </c>
      <c r="N66">
        <v>0</v>
      </c>
      <c r="O66">
        <v>0</v>
      </c>
      <c r="P66">
        <v>6896</v>
      </c>
      <c r="Q66">
        <v>0</v>
      </c>
    </row>
    <row r="67" spans="1:17" x14ac:dyDescent="0.3">
      <c r="A67">
        <v>15</v>
      </c>
      <c r="B67" t="s">
        <v>35</v>
      </c>
      <c r="C67" t="s">
        <v>28</v>
      </c>
      <c r="D67">
        <v>22</v>
      </c>
      <c r="E67">
        <v>10</v>
      </c>
      <c r="F67">
        <v>0.45454545454545398</v>
      </c>
      <c r="G67" t="b">
        <v>1</v>
      </c>
      <c r="H67" t="b">
        <v>1</v>
      </c>
      <c r="I67" t="b">
        <v>1</v>
      </c>
      <c r="J67" t="b">
        <v>1</v>
      </c>
      <c r="K67">
        <v>1</v>
      </c>
      <c r="L67">
        <v>1</v>
      </c>
      <c r="M67">
        <v>0</v>
      </c>
      <c r="N67">
        <v>0</v>
      </c>
      <c r="O67">
        <v>0</v>
      </c>
      <c r="P67">
        <v>10222</v>
      </c>
      <c r="Q67">
        <v>2043</v>
      </c>
    </row>
    <row r="68" spans="1:17" x14ac:dyDescent="0.3">
      <c r="A68">
        <v>16</v>
      </c>
      <c r="B68" t="s">
        <v>32</v>
      </c>
      <c r="C68" t="s">
        <v>28</v>
      </c>
      <c r="D68">
        <v>23</v>
      </c>
      <c r="E68">
        <v>0</v>
      </c>
      <c r="F68">
        <v>0</v>
      </c>
      <c r="G68" t="b">
        <v>1</v>
      </c>
      <c r="H68" t="b">
        <v>0</v>
      </c>
      <c r="I68" t="b">
        <v>1</v>
      </c>
      <c r="J68" t="b">
        <v>1</v>
      </c>
      <c r="K68">
        <v>1</v>
      </c>
      <c r="L68">
        <v>1</v>
      </c>
      <c r="M68">
        <v>0</v>
      </c>
      <c r="N68">
        <v>0</v>
      </c>
      <c r="O68">
        <v>0</v>
      </c>
      <c r="P68">
        <v>11678</v>
      </c>
      <c r="Q68">
        <v>2878</v>
      </c>
    </row>
    <row r="69" spans="1:17" x14ac:dyDescent="0.3">
      <c r="A69">
        <v>17</v>
      </c>
      <c r="B69" t="s">
        <v>33</v>
      </c>
      <c r="C69" t="s">
        <v>28</v>
      </c>
      <c r="D69">
        <v>30</v>
      </c>
      <c r="E69">
        <v>5</v>
      </c>
      <c r="F69">
        <v>0.16666666666666599</v>
      </c>
      <c r="G69" t="b">
        <v>1</v>
      </c>
      <c r="H69" t="b">
        <v>1</v>
      </c>
      <c r="I69" t="b">
        <v>1</v>
      </c>
      <c r="J69" t="b">
        <v>1</v>
      </c>
      <c r="K69">
        <v>1</v>
      </c>
      <c r="L69">
        <v>1</v>
      </c>
      <c r="M69">
        <v>0</v>
      </c>
      <c r="N69">
        <v>0</v>
      </c>
      <c r="O69">
        <v>0</v>
      </c>
      <c r="P69">
        <v>11067</v>
      </c>
      <c r="Q69">
        <v>3194</v>
      </c>
    </row>
    <row r="70" spans="1:17" x14ac:dyDescent="0.3">
      <c r="A70">
        <v>18</v>
      </c>
      <c r="B70" t="s">
        <v>36</v>
      </c>
      <c r="C70" t="s">
        <v>28</v>
      </c>
      <c r="D70">
        <v>20</v>
      </c>
      <c r="E70">
        <v>7</v>
      </c>
      <c r="F70">
        <v>0.35</v>
      </c>
      <c r="G70" t="b">
        <v>1</v>
      </c>
      <c r="H70" t="b">
        <v>1</v>
      </c>
      <c r="I70" t="b">
        <v>1</v>
      </c>
      <c r="J70" t="b">
        <v>1</v>
      </c>
      <c r="K70">
        <v>3</v>
      </c>
      <c r="L70">
        <v>1</v>
      </c>
      <c r="M70">
        <v>1</v>
      </c>
      <c r="N70">
        <v>0</v>
      </c>
      <c r="O70">
        <v>1</v>
      </c>
      <c r="P70">
        <v>4566</v>
      </c>
      <c r="Q70">
        <v>8007</v>
      </c>
    </row>
    <row r="71" spans="1:17" x14ac:dyDescent="0.3">
      <c r="A71">
        <v>19</v>
      </c>
      <c r="B71" t="s">
        <v>31</v>
      </c>
      <c r="C71" t="s">
        <v>28</v>
      </c>
      <c r="D71">
        <v>21</v>
      </c>
      <c r="E71">
        <v>2</v>
      </c>
      <c r="F71">
        <v>9.5238095238095205E-2</v>
      </c>
      <c r="G71" t="b">
        <v>1</v>
      </c>
      <c r="H71" t="b">
        <v>1</v>
      </c>
      <c r="I71" t="b">
        <v>0</v>
      </c>
      <c r="J71" t="b">
        <v>1</v>
      </c>
      <c r="K71">
        <v>3</v>
      </c>
      <c r="L71">
        <v>1</v>
      </c>
      <c r="M71">
        <v>1</v>
      </c>
      <c r="N71">
        <v>0</v>
      </c>
      <c r="O71">
        <v>1</v>
      </c>
      <c r="P71">
        <v>8517</v>
      </c>
      <c r="Q71">
        <v>6062</v>
      </c>
    </row>
    <row r="72" spans="1:17" x14ac:dyDescent="0.3">
      <c r="A72">
        <v>20</v>
      </c>
      <c r="B72">
        <v>168</v>
      </c>
      <c r="C72" t="s">
        <v>38</v>
      </c>
      <c r="D72">
        <v>5</v>
      </c>
      <c r="E72">
        <v>2</v>
      </c>
      <c r="F72">
        <v>0.4</v>
      </c>
      <c r="G72" t="b">
        <v>1</v>
      </c>
      <c r="H72" t="b">
        <v>1</v>
      </c>
      <c r="I72" t="b">
        <v>1</v>
      </c>
      <c r="J72" t="b">
        <v>1</v>
      </c>
      <c r="K72">
        <v>3</v>
      </c>
      <c r="L72">
        <v>1</v>
      </c>
      <c r="M72">
        <v>0</v>
      </c>
      <c r="N72">
        <v>0</v>
      </c>
      <c r="O72">
        <v>2</v>
      </c>
      <c r="P72">
        <v>3370</v>
      </c>
      <c r="Q72">
        <v>351</v>
      </c>
    </row>
    <row r="73" spans="1:17" x14ac:dyDescent="0.3">
      <c r="A73">
        <v>21</v>
      </c>
      <c r="B73">
        <v>1231</v>
      </c>
      <c r="C73" t="s">
        <v>38</v>
      </c>
      <c r="D73">
        <v>4</v>
      </c>
      <c r="E73">
        <v>4</v>
      </c>
      <c r="F73">
        <v>1</v>
      </c>
      <c r="G73" t="b">
        <v>1</v>
      </c>
      <c r="H73" t="b">
        <v>1</v>
      </c>
      <c r="I73" t="b">
        <v>1</v>
      </c>
      <c r="J73" t="b">
        <v>1</v>
      </c>
      <c r="K73">
        <v>3</v>
      </c>
      <c r="L73">
        <v>1</v>
      </c>
      <c r="M73">
        <v>1</v>
      </c>
      <c r="N73">
        <v>0</v>
      </c>
      <c r="O73">
        <v>1</v>
      </c>
      <c r="P73">
        <v>1725</v>
      </c>
      <c r="Q73">
        <v>1454</v>
      </c>
    </row>
    <row r="74" spans="1:17" x14ac:dyDescent="0.3">
      <c r="A74">
        <v>22</v>
      </c>
      <c r="B74">
        <v>1907</v>
      </c>
      <c r="C74" t="s">
        <v>38</v>
      </c>
      <c r="D74">
        <v>5</v>
      </c>
      <c r="E74">
        <v>4</v>
      </c>
      <c r="F74">
        <v>0.8</v>
      </c>
      <c r="G74" t="b">
        <v>1</v>
      </c>
      <c r="H74" t="b">
        <v>1</v>
      </c>
      <c r="I74" t="b">
        <v>1</v>
      </c>
      <c r="J74" t="b">
        <v>1</v>
      </c>
      <c r="K74">
        <v>0</v>
      </c>
      <c r="L74">
        <v>0</v>
      </c>
      <c r="M74">
        <v>0</v>
      </c>
      <c r="N74">
        <v>0</v>
      </c>
      <c r="O74">
        <v>0</v>
      </c>
      <c r="P74">
        <v>567</v>
      </c>
      <c r="Q74">
        <v>0</v>
      </c>
    </row>
    <row r="75" spans="1:17" x14ac:dyDescent="0.3">
      <c r="A75">
        <v>23</v>
      </c>
      <c r="B75">
        <v>1265</v>
      </c>
      <c r="C75" t="s">
        <v>38</v>
      </c>
      <c r="D75">
        <v>3</v>
      </c>
      <c r="E75">
        <v>3</v>
      </c>
      <c r="F75">
        <v>1</v>
      </c>
      <c r="G75" t="b">
        <v>1</v>
      </c>
      <c r="H75" t="b">
        <v>1</v>
      </c>
      <c r="I75" t="b">
        <v>1</v>
      </c>
      <c r="J75" t="b">
        <v>1</v>
      </c>
      <c r="K75">
        <v>3</v>
      </c>
      <c r="L75">
        <v>1</v>
      </c>
      <c r="M75">
        <v>0</v>
      </c>
      <c r="N75">
        <v>1</v>
      </c>
      <c r="O75">
        <v>1</v>
      </c>
      <c r="P75">
        <v>1571</v>
      </c>
      <c r="Q75">
        <v>1105</v>
      </c>
    </row>
    <row r="76" spans="1:17" x14ac:dyDescent="0.3">
      <c r="A76">
        <v>24</v>
      </c>
      <c r="B76">
        <v>1565</v>
      </c>
      <c r="C76" t="s">
        <v>38</v>
      </c>
      <c r="D76">
        <v>5</v>
      </c>
      <c r="E76">
        <v>5</v>
      </c>
      <c r="F76">
        <v>1</v>
      </c>
      <c r="G76" t="b">
        <v>1</v>
      </c>
      <c r="H76" t="b">
        <v>1</v>
      </c>
      <c r="I76" t="b">
        <v>1</v>
      </c>
      <c r="J76" t="b">
        <v>1</v>
      </c>
      <c r="K76">
        <v>2</v>
      </c>
      <c r="L76">
        <v>1</v>
      </c>
      <c r="M76">
        <v>0</v>
      </c>
      <c r="N76">
        <v>0</v>
      </c>
      <c r="O76">
        <v>1</v>
      </c>
      <c r="P76">
        <v>1525</v>
      </c>
      <c r="Q76">
        <v>338</v>
      </c>
    </row>
    <row r="77" spans="1:17" x14ac:dyDescent="0.3">
      <c r="A77">
        <v>25</v>
      </c>
      <c r="B77">
        <v>1635</v>
      </c>
      <c r="C77" t="s">
        <v>38</v>
      </c>
      <c r="D77">
        <v>6</v>
      </c>
      <c r="E77">
        <v>2</v>
      </c>
      <c r="F77">
        <v>0.33333333333333298</v>
      </c>
      <c r="G77" t="b">
        <v>1</v>
      </c>
      <c r="H77" t="b">
        <v>1</v>
      </c>
      <c r="I77" t="b">
        <v>1</v>
      </c>
      <c r="J77" t="b">
        <v>1</v>
      </c>
      <c r="K77">
        <v>3</v>
      </c>
      <c r="L77">
        <v>2</v>
      </c>
      <c r="M77">
        <v>1</v>
      </c>
      <c r="N77">
        <v>0</v>
      </c>
      <c r="O77">
        <v>0</v>
      </c>
      <c r="P77">
        <v>5559</v>
      </c>
      <c r="Q77">
        <v>1190</v>
      </c>
    </row>
    <row r="78" spans="1:17" x14ac:dyDescent="0.3">
      <c r="A78">
        <v>26</v>
      </c>
      <c r="B78">
        <v>943</v>
      </c>
      <c r="C78" t="s">
        <v>38</v>
      </c>
      <c r="D78">
        <v>3</v>
      </c>
      <c r="E78">
        <v>1</v>
      </c>
      <c r="F78">
        <v>0.33333333333333298</v>
      </c>
      <c r="G78" t="b">
        <v>1</v>
      </c>
      <c r="H78" t="b">
        <v>1</v>
      </c>
      <c r="I78" t="b">
        <v>1</v>
      </c>
      <c r="J78" t="b">
        <v>1</v>
      </c>
      <c r="K78">
        <v>1</v>
      </c>
      <c r="L78">
        <v>1</v>
      </c>
      <c r="M78">
        <v>0</v>
      </c>
      <c r="N78">
        <v>0</v>
      </c>
      <c r="O78">
        <v>0</v>
      </c>
      <c r="P78">
        <v>1298</v>
      </c>
      <c r="Q78">
        <v>126</v>
      </c>
    </row>
    <row r="79" spans="1:17" x14ac:dyDescent="0.3">
      <c r="A79">
        <v>27</v>
      </c>
      <c r="B79">
        <v>1393</v>
      </c>
      <c r="C79" t="s">
        <v>38</v>
      </c>
      <c r="D79">
        <v>5</v>
      </c>
      <c r="E79">
        <v>1</v>
      </c>
      <c r="F79">
        <v>0.2</v>
      </c>
      <c r="G79" t="b">
        <v>1</v>
      </c>
      <c r="H79" t="b">
        <v>1</v>
      </c>
      <c r="I79" t="b">
        <v>1</v>
      </c>
      <c r="J79" t="b">
        <v>1</v>
      </c>
      <c r="K79">
        <v>2</v>
      </c>
      <c r="L79">
        <v>1</v>
      </c>
      <c r="M79">
        <v>0</v>
      </c>
      <c r="N79">
        <v>0</v>
      </c>
      <c r="O79">
        <v>1</v>
      </c>
      <c r="P79">
        <v>2083</v>
      </c>
      <c r="Q79">
        <v>336</v>
      </c>
    </row>
    <row r="80" spans="1:17" x14ac:dyDescent="0.3">
      <c r="A80">
        <v>28</v>
      </c>
      <c r="B80">
        <v>49</v>
      </c>
      <c r="C80" t="s">
        <v>38</v>
      </c>
      <c r="D80">
        <v>4</v>
      </c>
      <c r="E80">
        <v>3</v>
      </c>
      <c r="F80">
        <v>0.75</v>
      </c>
      <c r="G80" t="b">
        <v>1</v>
      </c>
      <c r="H80" t="b">
        <v>0</v>
      </c>
      <c r="I80" t="b">
        <v>1</v>
      </c>
      <c r="J80" t="b">
        <v>1</v>
      </c>
      <c r="K80">
        <v>1</v>
      </c>
      <c r="L80">
        <v>0</v>
      </c>
      <c r="M80">
        <v>0</v>
      </c>
      <c r="N80">
        <v>0</v>
      </c>
      <c r="O80">
        <v>1</v>
      </c>
      <c r="P80">
        <v>892</v>
      </c>
      <c r="Q80">
        <v>10</v>
      </c>
    </row>
    <row r="81" spans="1:17" x14ac:dyDescent="0.3">
      <c r="A81">
        <v>29</v>
      </c>
      <c r="B81">
        <v>1303</v>
      </c>
      <c r="C81" t="s">
        <v>38</v>
      </c>
      <c r="D81">
        <v>5</v>
      </c>
      <c r="E81">
        <v>5</v>
      </c>
      <c r="F81">
        <v>1</v>
      </c>
      <c r="G81" t="b">
        <v>1</v>
      </c>
      <c r="H81" t="b">
        <v>1</v>
      </c>
      <c r="I81" t="b">
        <v>1</v>
      </c>
      <c r="J81" t="b">
        <v>1</v>
      </c>
      <c r="K81">
        <v>2</v>
      </c>
      <c r="L81">
        <v>1</v>
      </c>
      <c r="M81">
        <v>0</v>
      </c>
      <c r="N81">
        <v>0</v>
      </c>
      <c r="O81">
        <v>1</v>
      </c>
      <c r="P81">
        <v>1772</v>
      </c>
      <c r="Q81">
        <v>290</v>
      </c>
    </row>
    <row r="82" spans="1:17" x14ac:dyDescent="0.3">
      <c r="A82">
        <v>30</v>
      </c>
      <c r="B82">
        <v>418</v>
      </c>
      <c r="C82" t="s">
        <v>39</v>
      </c>
      <c r="D82">
        <v>6</v>
      </c>
      <c r="E82">
        <v>4</v>
      </c>
      <c r="F82">
        <v>0.66666666666666596</v>
      </c>
      <c r="G82" t="b">
        <v>1</v>
      </c>
      <c r="H82" t="b">
        <v>1</v>
      </c>
      <c r="I82" t="b">
        <v>1</v>
      </c>
      <c r="J82" t="b">
        <v>1</v>
      </c>
      <c r="K82">
        <v>1</v>
      </c>
      <c r="L82">
        <v>1</v>
      </c>
      <c r="M82">
        <v>0</v>
      </c>
      <c r="N82">
        <v>0</v>
      </c>
      <c r="O82">
        <v>0</v>
      </c>
      <c r="P82">
        <v>1730</v>
      </c>
      <c r="Q82">
        <v>447</v>
      </c>
    </row>
    <row r="83" spans="1:17" x14ac:dyDescent="0.3">
      <c r="A83">
        <v>31</v>
      </c>
      <c r="B83">
        <v>400</v>
      </c>
      <c r="C83" t="s">
        <v>39</v>
      </c>
      <c r="D83">
        <v>6</v>
      </c>
      <c r="E83">
        <v>4</v>
      </c>
      <c r="F83">
        <v>0.66666666666666596</v>
      </c>
      <c r="G83" t="b">
        <v>1</v>
      </c>
      <c r="H83" t="b">
        <v>1</v>
      </c>
      <c r="I83" t="b">
        <v>1</v>
      </c>
      <c r="J83" t="b">
        <v>1</v>
      </c>
      <c r="K83">
        <v>2</v>
      </c>
      <c r="L83">
        <v>1</v>
      </c>
      <c r="M83">
        <v>1</v>
      </c>
      <c r="N83">
        <v>0</v>
      </c>
      <c r="O83">
        <v>0</v>
      </c>
      <c r="P83">
        <v>3804</v>
      </c>
      <c r="Q83">
        <v>2319</v>
      </c>
    </row>
    <row r="84" spans="1:17" x14ac:dyDescent="0.3">
      <c r="A84">
        <v>32</v>
      </c>
      <c r="B84">
        <v>434</v>
      </c>
      <c r="C84" t="s">
        <v>39</v>
      </c>
      <c r="D84">
        <v>5</v>
      </c>
      <c r="E84">
        <v>2</v>
      </c>
      <c r="F84">
        <v>0.4</v>
      </c>
      <c r="G84" t="b">
        <v>1</v>
      </c>
      <c r="H84" t="b">
        <v>1</v>
      </c>
      <c r="I84" t="b">
        <v>1</v>
      </c>
      <c r="J84" t="b">
        <v>1</v>
      </c>
      <c r="K84">
        <v>2</v>
      </c>
      <c r="L84">
        <v>1</v>
      </c>
      <c r="M84">
        <v>0</v>
      </c>
      <c r="N84">
        <v>0</v>
      </c>
      <c r="O84">
        <v>1</v>
      </c>
      <c r="P84">
        <v>1895</v>
      </c>
      <c r="Q84">
        <v>269</v>
      </c>
    </row>
    <row r="85" spans="1:17" x14ac:dyDescent="0.3">
      <c r="A85">
        <v>33</v>
      </c>
      <c r="B85">
        <v>432</v>
      </c>
      <c r="C85" t="s">
        <v>39</v>
      </c>
      <c r="D85">
        <v>6</v>
      </c>
      <c r="E85">
        <v>2</v>
      </c>
      <c r="F85">
        <v>0.33333333333333298</v>
      </c>
      <c r="G85" t="b">
        <v>1</v>
      </c>
      <c r="H85" t="b">
        <v>1</v>
      </c>
      <c r="I85" t="b">
        <v>1</v>
      </c>
      <c r="J85" t="b">
        <v>1</v>
      </c>
      <c r="K85">
        <v>3</v>
      </c>
      <c r="L85">
        <v>1</v>
      </c>
      <c r="M85">
        <v>0</v>
      </c>
      <c r="N85">
        <v>1</v>
      </c>
      <c r="O85">
        <v>1</v>
      </c>
      <c r="P85">
        <v>4241</v>
      </c>
      <c r="Q85">
        <v>2537</v>
      </c>
    </row>
    <row r="86" spans="1:17" x14ac:dyDescent="0.3">
      <c r="A86">
        <v>34</v>
      </c>
      <c r="B86">
        <v>397</v>
      </c>
      <c r="C86" t="s">
        <v>39</v>
      </c>
      <c r="D86">
        <v>6</v>
      </c>
      <c r="E86">
        <v>1</v>
      </c>
      <c r="F86">
        <v>0.16666666666666599</v>
      </c>
      <c r="G86" t="b">
        <v>1</v>
      </c>
      <c r="H86" t="b">
        <v>1</v>
      </c>
      <c r="I86" t="b">
        <v>1</v>
      </c>
      <c r="J86" t="b">
        <v>1</v>
      </c>
      <c r="K86">
        <v>2</v>
      </c>
      <c r="L86">
        <v>1</v>
      </c>
      <c r="M86">
        <v>0</v>
      </c>
      <c r="N86">
        <v>0</v>
      </c>
      <c r="O86">
        <v>1</v>
      </c>
      <c r="P86">
        <v>2587</v>
      </c>
      <c r="Q86">
        <v>421</v>
      </c>
    </row>
    <row r="87" spans="1:17" x14ac:dyDescent="0.3">
      <c r="A87">
        <v>35</v>
      </c>
      <c r="B87">
        <v>411</v>
      </c>
      <c r="C87" t="s">
        <v>39</v>
      </c>
      <c r="D87">
        <v>9</v>
      </c>
      <c r="E87">
        <v>7</v>
      </c>
      <c r="F87">
        <v>0.77777777777777701</v>
      </c>
      <c r="G87" t="b">
        <v>1</v>
      </c>
      <c r="H87" t="b">
        <v>1</v>
      </c>
      <c r="I87" t="b">
        <v>1</v>
      </c>
      <c r="J87" t="b">
        <v>1</v>
      </c>
      <c r="K87">
        <v>0</v>
      </c>
      <c r="L87">
        <v>0</v>
      </c>
      <c r="M87">
        <v>0</v>
      </c>
      <c r="N87">
        <v>0</v>
      </c>
      <c r="O87">
        <v>0</v>
      </c>
      <c r="P87">
        <v>5658</v>
      </c>
      <c r="Q87">
        <v>0</v>
      </c>
    </row>
    <row r="88" spans="1:17" x14ac:dyDescent="0.3">
      <c r="A88">
        <v>36</v>
      </c>
      <c r="B88">
        <v>399</v>
      </c>
      <c r="C88" t="s">
        <v>39</v>
      </c>
      <c r="D88">
        <v>8</v>
      </c>
      <c r="E88">
        <v>5</v>
      </c>
      <c r="F88">
        <v>0.625</v>
      </c>
      <c r="G88" t="b">
        <v>1</v>
      </c>
      <c r="H88" t="b">
        <v>1</v>
      </c>
      <c r="I88" t="b">
        <v>1</v>
      </c>
      <c r="J88" t="b">
        <v>1</v>
      </c>
      <c r="K88">
        <v>2</v>
      </c>
      <c r="L88">
        <v>1</v>
      </c>
      <c r="M88">
        <v>0</v>
      </c>
      <c r="N88">
        <v>0</v>
      </c>
      <c r="O88">
        <v>1</v>
      </c>
      <c r="P88">
        <v>2015</v>
      </c>
      <c r="Q88">
        <v>726</v>
      </c>
    </row>
    <row r="89" spans="1:17" x14ac:dyDescent="0.3">
      <c r="A89">
        <v>37</v>
      </c>
      <c r="B89">
        <v>429</v>
      </c>
      <c r="C89" t="s">
        <v>39</v>
      </c>
      <c r="D89">
        <v>5</v>
      </c>
      <c r="E89">
        <v>5</v>
      </c>
      <c r="F89">
        <v>1</v>
      </c>
      <c r="G89" t="b">
        <v>1</v>
      </c>
      <c r="H89" t="b">
        <v>1</v>
      </c>
      <c r="I89" t="b">
        <v>1</v>
      </c>
      <c r="J89" t="b">
        <v>1</v>
      </c>
      <c r="K89">
        <v>2</v>
      </c>
      <c r="L89">
        <v>1</v>
      </c>
      <c r="M89">
        <v>0</v>
      </c>
      <c r="N89">
        <v>0</v>
      </c>
      <c r="O89">
        <v>1</v>
      </c>
      <c r="P89">
        <v>1966</v>
      </c>
      <c r="Q89">
        <v>266</v>
      </c>
    </row>
    <row r="90" spans="1:17" x14ac:dyDescent="0.3">
      <c r="A90">
        <v>38</v>
      </c>
      <c r="B90">
        <v>414</v>
      </c>
      <c r="C90" t="s">
        <v>39</v>
      </c>
      <c r="D90">
        <v>10</v>
      </c>
      <c r="E90">
        <v>6</v>
      </c>
      <c r="F90">
        <v>0.6</v>
      </c>
      <c r="G90" t="b">
        <v>1</v>
      </c>
      <c r="H90" t="b">
        <v>1</v>
      </c>
      <c r="I90" t="b">
        <v>1</v>
      </c>
      <c r="J90" t="b">
        <v>1</v>
      </c>
      <c r="K90">
        <v>3</v>
      </c>
      <c r="L90">
        <v>1</v>
      </c>
      <c r="M90">
        <v>0</v>
      </c>
      <c r="N90">
        <v>1</v>
      </c>
      <c r="O90">
        <v>1</v>
      </c>
      <c r="P90">
        <v>6992</v>
      </c>
      <c r="Q90">
        <v>1421</v>
      </c>
    </row>
    <row r="91" spans="1:17" x14ac:dyDescent="0.3">
      <c r="A91">
        <v>39</v>
      </c>
      <c r="B91">
        <v>433</v>
      </c>
      <c r="C91" t="s">
        <v>39</v>
      </c>
      <c r="D91">
        <v>6</v>
      </c>
      <c r="E91">
        <v>2</v>
      </c>
      <c r="F91">
        <v>0.33333333333333298</v>
      </c>
      <c r="G91" t="b">
        <v>1</v>
      </c>
      <c r="H91" t="b">
        <v>1</v>
      </c>
      <c r="I91" t="b">
        <v>1</v>
      </c>
      <c r="J91" t="b">
        <v>1</v>
      </c>
      <c r="K91">
        <v>5</v>
      </c>
      <c r="L91">
        <v>1</v>
      </c>
      <c r="M91">
        <v>1</v>
      </c>
      <c r="N91">
        <v>0</v>
      </c>
      <c r="O91">
        <v>3</v>
      </c>
      <c r="P91">
        <v>6633</v>
      </c>
      <c r="Q91">
        <v>1946</v>
      </c>
    </row>
    <row r="92" spans="1:17" x14ac:dyDescent="0.3">
      <c r="A92">
        <v>40</v>
      </c>
      <c r="B92" t="s">
        <v>40</v>
      </c>
      <c r="C92" t="s">
        <v>41</v>
      </c>
      <c r="D92">
        <v>20</v>
      </c>
      <c r="E92">
        <v>11</v>
      </c>
      <c r="F92">
        <v>0.55000000000000004</v>
      </c>
      <c r="G92" t="b">
        <v>1</v>
      </c>
      <c r="H92" t="b">
        <v>1</v>
      </c>
      <c r="I92" t="b">
        <v>1</v>
      </c>
      <c r="J92" t="b">
        <v>1</v>
      </c>
      <c r="K92">
        <v>2</v>
      </c>
      <c r="L92">
        <v>1</v>
      </c>
      <c r="M92">
        <v>1</v>
      </c>
      <c r="N92">
        <v>0</v>
      </c>
      <c r="O92">
        <v>0</v>
      </c>
      <c r="P92">
        <v>7424</v>
      </c>
      <c r="Q92">
        <v>2461</v>
      </c>
    </row>
    <row r="93" spans="1:17" x14ac:dyDescent="0.3">
      <c r="A93">
        <v>41</v>
      </c>
      <c r="B93" t="s">
        <v>42</v>
      </c>
      <c r="C93" t="s">
        <v>41</v>
      </c>
      <c r="D93">
        <v>12</v>
      </c>
      <c r="E93">
        <v>8</v>
      </c>
      <c r="F93">
        <v>0.66666666666666596</v>
      </c>
      <c r="G93" t="b">
        <v>1</v>
      </c>
      <c r="H93" t="b">
        <v>1</v>
      </c>
      <c r="I93" t="b">
        <v>1</v>
      </c>
      <c r="J93" t="b">
        <v>1</v>
      </c>
      <c r="K93">
        <v>2</v>
      </c>
      <c r="L93">
        <v>0</v>
      </c>
      <c r="M93">
        <v>0</v>
      </c>
      <c r="N93">
        <v>0</v>
      </c>
      <c r="O93">
        <v>2</v>
      </c>
      <c r="P93">
        <v>3258</v>
      </c>
      <c r="Q93">
        <v>30</v>
      </c>
    </row>
    <row r="94" spans="1:17" x14ac:dyDescent="0.3">
      <c r="A94">
        <v>42</v>
      </c>
      <c r="B94" t="s">
        <v>45</v>
      </c>
      <c r="C94" t="s">
        <v>41</v>
      </c>
      <c r="D94">
        <v>13</v>
      </c>
      <c r="E94">
        <v>12</v>
      </c>
      <c r="F94">
        <v>0.92307692307692302</v>
      </c>
      <c r="G94" t="b">
        <v>1</v>
      </c>
      <c r="H94" t="b">
        <v>1</v>
      </c>
      <c r="I94" t="b">
        <v>1</v>
      </c>
      <c r="J94" t="b">
        <v>1</v>
      </c>
      <c r="K94">
        <v>1</v>
      </c>
      <c r="L94">
        <v>0</v>
      </c>
      <c r="M94">
        <v>1</v>
      </c>
      <c r="N94">
        <v>0</v>
      </c>
      <c r="O94">
        <v>0</v>
      </c>
      <c r="P94">
        <v>10455</v>
      </c>
      <c r="Q94">
        <v>3887</v>
      </c>
    </row>
    <row r="95" spans="1:17" x14ac:dyDescent="0.3">
      <c r="A95">
        <v>43</v>
      </c>
      <c r="B95" t="s">
        <v>46</v>
      </c>
      <c r="C95" t="s">
        <v>41</v>
      </c>
      <c r="D95">
        <v>15</v>
      </c>
      <c r="E95">
        <v>10</v>
      </c>
      <c r="F95">
        <v>0.66666666666666596</v>
      </c>
      <c r="G95" t="b">
        <v>1</v>
      </c>
      <c r="H95" t="b">
        <v>1</v>
      </c>
      <c r="I95" t="b">
        <v>1</v>
      </c>
      <c r="J95" t="b">
        <v>1</v>
      </c>
      <c r="K95">
        <v>0</v>
      </c>
      <c r="L95">
        <v>0</v>
      </c>
      <c r="M95">
        <v>0</v>
      </c>
      <c r="N95">
        <v>0</v>
      </c>
      <c r="O95">
        <v>0</v>
      </c>
      <c r="P95">
        <v>7196</v>
      </c>
      <c r="Q95">
        <v>0</v>
      </c>
    </row>
    <row r="96" spans="1:17" x14ac:dyDescent="0.3">
      <c r="A96">
        <v>44</v>
      </c>
      <c r="B96" t="s">
        <v>48</v>
      </c>
      <c r="C96" t="s">
        <v>41</v>
      </c>
      <c r="D96">
        <v>23</v>
      </c>
      <c r="E96">
        <v>10</v>
      </c>
      <c r="F96">
        <v>0.434782608695652</v>
      </c>
      <c r="G96" t="b">
        <v>1</v>
      </c>
      <c r="H96" t="b">
        <v>1</v>
      </c>
      <c r="I96" t="b">
        <v>1</v>
      </c>
      <c r="J96" t="b">
        <v>1</v>
      </c>
      <c r="K96">
        <v>4</v>
      </c>
      <c r="L96">
        <v>1</v>
      </c>
      <c r="M96">
        <v>0</v>
      </c>
      <c r="N96">
        <v>0</v>
      </c>
      <c r="O96">
        <v>3</v>
      </c>
      <c r="P96">
        <v>8922</v>
      </c>
      <c r="Q96">
        <v>1628</v>
      </c>
    </row>
    <row r="97" spans="1:17" x14ac:dyDescent="0.3">
      <c r="A97">
        <v>45</v>
      </c>
      <c r="B97" t="s">
        <v>44</v>
      </c>
      <c r="C97" t="s">
        <v>41</v>
      </c>
      <c r="D97">
        <v>17</v>
      </c>
      <c r="E97">
        <v>10</v>
      </c>
      <c r="F97">
        <v>0.58823529411764697</v>
      </c>
      <c r="G97" t="b">
        <v>1</v>
      </c>
      <c r="H97" t="b">
        <v>1</v>
      </c>
      <c r="I97" t="b">
        <v>1</v>
      </c>
      <c r="J97" t="b">
        <v>1</v>
      </c>
      <c r="K97">
        <v>9</v>
      </c>
      <c r="L97">
        <v>1</v>
      </c>
      <c r="M97">
        <v>0</v>
      </c>
      <c r="N97">
        <v>0</v>
      </c>
      <c r="O97">
        <v>8</v>
      </c>
      <c r="P97">
        <v>8138</v>
      </c>
      <c r="Q97">
        <v>1336</v>
      </c>
    </row>
    <row r="98" spans="1:17" x14ac:dyDescent="0.3">
      <c r="A98">
        <v>46</v>
      </c>
      <c r="B98" t="s">
        <v>49</v>
      </c>
      <c r="C98" t="s">
        <v>41</v>
      </c>
      <c r="D98">
        <v>23</v>
      </c>
      <c r="E98">
        <v>3</v>
      </c>
      <c r="F98">
        <v>0.13043478260869501</v>
      </c>
      <c r="G98" t="b">
        <v>1</v>
      </c>
      <c r="H98" t="b">
        <v>0</v>
      </c>
      <c r="I98" t="b">
        <v>1</v>
      </c>
      <c r="J98" t="b">
        <v>1</v>
      </c>
      <c r="K98">
        <v>0</v>
      </c>
      <c r="L98">
        <v>0</v>
      </c>
      <c r="M98">
        <v>0</v>
      </c>
      <c r="N98">
        <v>0</v>
      </c>
      <c r="O98">
        <v>0</v>
      </c>
      <c r="P98">
        <v>10003</v>
      </c>
      <c r="Q98">
        <v>0</v>
      </c>
    </row>
    <row r="99" spans="1:17" x14ac:dyDescent="0.3">
      <c r="A99">
        <v>47</v>
      </c>
      <c r="B99" t="s">
        <v>50</v>
      </c>
      <c r="C99" t="s">
        <v>41</v>
      </c>
      <c r="D99">
        <v>14</v>
      </c>
      <c r="E99">
        <v>10</v>
      </c>
      <c r="F99">
        <v>0.71428571428571397</v>
      </c>
      <c r="G99" t="b">
        <v>1</v>
      </c>
      <c r="H99" t="b">
        <v>1</v>
      </c>
      <c r="I99" t="b">
        <v>1</v>
      </c>
      <c r="J99" t="b">
        <v>1</v>
      </c>
      <c r="K99">
        <v>2</v>
      </c>
      <c r="L99">
        <v>0</v>
      </c>
      <c r="M99">
        <v>1</v>
      </c>
      <c r="N99">
        <v>0</v>
      </c>
      <c r="O99">
        <v>1</v>
      </c>
      <c r="P99">
        <v>2766</v>
      </c>
      <c r="Q99">
        <v>3484</v>
      </c>
    </row>
    <row r="100" spans="1:17" x14ac:dyDescent="0.3">
      <c r="A100">
        <v>48</v>
      </c>
      <c r="B100" t="s">
        <v>43</v>
      </c>
      <c r="C100" t="s">
        <v>41</v>
      </c>
      <c r="D100">
        <v>14</v>
      </c>
      <c r="E100">
        <v>9</v>
      </c>
      <c r="F100">
        <v>0.64285714285714202</v>
      </c>
      <c r="G100" t="b">
        <v>1</v>
      </c>
      <c r="H100" t="b">
        <v>1</v>
      </c>
      <c r="I100" t="b">
        <v>1</v>
      </c>
      <c r="J100" t="b">
        <v>1</v>
      </c>
      <c r="K100">
        <v>1</v>
      </c>
      <c r="L100">
        <v>1</v>
      </c>
      <c r="M100">
        <v>0</v>
      </c>
      <c r="N100">
        <v>0</v>
      </c>
      <c r="O100">
        <v>0</v>
      </c>
      <c r="P100">
        <v>6345</v>
      </c>
      <c r="Q100">
        <v>1094</v>
      </c>
    </row>
    <row r="101" spans="1:17" x14ac:dyDescent="0.3">
      <c r="A101">
        <v>49</v>
      </c>
      <c r="B101" t="s">
        <v>47</v>
      </c>
      <c r="C101" t="s">
        <v>41</v>
      </c>
      <c r="D101">
        <v>11</v>
      </c>
      <c r="E101">
        <v>2</v>
      </c>
      <c r="F101">
        <v>0.18181818181818099</v>
      </c>
      <c r="G101" t="b">
        <v>1</v>
      </c>
      <c r="H101" t="b">
        <v>1</v>
      </c>
      <c r="I101" t="b">
        <v>1</v>
      </c>
      <c r="J101" t="b">
        <v>1</v>
      </c>
      <c r="K101">
        <v>2</v>
      </c>
      <c r="L101">
        <v>1</v>
      </c>
      <c r="M101">
        <v>0</v>
      </c>
      <c r="N101">
        <v>0</v>
      </c>
      <c r="O101">
        <v>1</v>
      </c>
      <c r="P101">
        <v>7234</v>
      </c>
      <c r="Q101">
        <v>770</v>
      </c>
    </row>
  </sheetData>
  <autoFilter ref="A1:Q101" xr:uid="{E0D8C692-1499-4903-A574-9558FA568523}"/>
  <pageMargins left="0.7" right="0.7" top="0.75" bottom="0.75" header="0.3" footer="0.3"/>
  <pageSetup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BC85387-5174-43A9-BD1D-B7E163B52AD4}">
  <dimension ref="A1:Q51"/>
  <sheetViews>
    <sheetView workbookViewId="0">
      <selection sqref="A1:Q51"/>
    </sheetView>
  </sheetViews>
  <sheetFormatPr defaultRowHeight="14.4" x14ac:dyDescent="0.3"/>
  <sheetData>
    <row r="1" spans="1:17" x14ac:dyDescent="0.3">
      <c r="A1" s="1"/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  <c r="K1" s="1" t="s">
        <v>9</v>
      </c>
      <c r="L1" s="1" t="s">
        <v>10</v>
      </c>
      <c r="M1" s="1" t="s">
        <v>11</v>
      </c>
      <c r="N1" s="1" t="s">
        <v>12</v>
      </c>
      <c r="O1" s="1" t="s">
        <v>13</v>
      </c>
      <c r="P1" s="1" t="s">
        <v>14</v>
      </c>
      <c r="Q1" s="1" t="s">
        <v>15</v>
      </c>
    </row>
    <row r="2" spans="1:17" x14ac:dyDescent="0.3">
      <c r="A2">
        <v>0</v>
      </c>
      <c r="B2" t="s">
        <v>16</v>
      </c>
      <c r="C2" t="s">
        <v>17</v>
      </c>
      <c r="D2">
        <v>18</v>
      </c>
      <c r="E2">
        <v>4</v>
      </c>
      <c r="F2">
        <v>0.22222222222222199</v>
      </c>
      <c r="G2" t="b">
        <v>1</v>
      </c>
      <c r="H2" t="b">
        <v>1</v>
      </c>
      <c r="I2" t="b">
        <v>1</v>
      </c>
      <c r="J2" t="b">
        <v>0</v>
      </c>
      <c r="K2">
        <v>0</v>
      </c>
      <c r="L2">
        <v>0</v>
      </c>
      <c r="M2">
        <v>0</v>
      </c>
      <c r="N2">
        <v>0</v>
      </c>
      <c r="O2">
        <v>0</v>
      </c>
      <c r="P2">
        <v>8405</v>
      </c>
      <c r="Q2">
        <v>0</v>
      </c>
    </row>
    <row r="3" spans="1:17" x14ac:dyDescent="0.3">
      <c r="A3">
        <v>1</v>
      </c>
      <c r="B3" t="s">
        <v>18</v>
      </c>
      <c r="C3" t="s">
        <v>17</v>
      </c>
      <c r="D3">
        <v>16</v>
      </c>
      <c r="E3">
        <v>1</v>
      </c>
      <c r="F3">
        <v>6.25E-2</v>
      </c>
      <c r="G3" t="b">
        <v>1</v>
      </c>
      <c r="H3" t="b">
        <v>0</v>
      </c>
      <c r="I3" t="b">
        <v>1</v>
      </c>
      <c r="J3" t="b">
        <v>0</v>
      </c>
      <c r="K3">
        <v>0</v>
      </c>
      <c r="L3">
        <v>0</v>
      </c>
      <c r="M3">
        <v>0</v>
      </c>
      <c r="N3">
        <v>0</v>
      </c>
      <c r="O3">
        <v>0</v>
      </c>
      <c r="P3">
        <v>10003</v>
      </c>
      <c r="Q3">
        <v>0</v>
      </c>
    </row>
    <row r="4" spans="1:17" x14ac:dyDescent="0.3">
      <c r="A4">
        <v>2</v>
      </c>
      <c r="B4" t="s">
        <v>19</v>
      </c>
      <c r="C4" t="s">
        <v>17</v>
      </c>
      <c r="D4">
        <v>24</v>
      </c>
      <c r="E4">
        <v>0</v>
      </c>
      <c r="F4">
        <v>0</v>
      </c>
      <c r="G4" t="b">
        <v>0</v>
      </c>
      <c r="H4" t="b">
        <v>0</v>
      </c>
      <c r="I4" t="b">
        <v>1</v>
      </c>
      <c r="J4" t="b">
        <v>0</v>
      </c>
      <c r="K4">
        <v>0</v>
      </c>
      <c r="L4">
        <v>0</v>
      </c>
      <c r="M4">
        <v>0</v>
      </c>
      <c r="N4">
        <v>0</v>
      </c>
      <c r="O4">
        <v>0</v>
      </c>
      <c r="P4">
        <v>10004</v>
      </c>
      <c r="Q4">
        <v>0</v>
      </c>
    </row>
    <row r="5" spans="1:17" x14ac:dyDescent="0.3">
      <c r="A5">
        <v>3</v>
      </c>
      <c r="B5" t="s">
        <v>20</v>
      </c>
      <c r="C5" t="s">
        <v>17</v>
      </c>
      <c r="D5">
        <v>26</v>
      </c>
      <c r="E5">
        <v>4</v>
      </c>
      <c r="F5">
        <v>0.15384615384615299</v>
      </c>
      <c r="G5" t="b">
        <v>1</v>
      </c>
      <c r="H5" t="b">
        <v>0</v>
      </c>
      <c r="I5" t="b">
        <v>1</v>
      </c>
      <c r="J5" t="b">
        <v>0</v>
      </c>
      <c r="K5">
        <v>0</v>
      </c>
      <c r="L5">
        <v>0</v>
      </c>
      <c r="M5">
        <v>0</v>
      </c>
      <c r="N5">
        <v>0</v>
      </c>
      <c r="O5">
        <v>0</v>
      </c>
      <c r="P5">
        <v>10001</v>
      </c>
      <c r="Q5">
        <v>0</v>
      </c>
    </row>
    <row r="6" spans="1:17" x14ac:dyDescent="0.3">
      <c r="A6">
        <v>4</v>
      </c>
      <c r="B6" t="s">
        <v>21</v>
      </c>
      <c r="C6" t="s">
        <v>17</v>
      </c>
      <c r="D6">
        <v>21</v>
      </c>
      <c r="E6">
        <v>0</v>
      </c>
      <c r="F6">
        <v>0</v>
      </c>
      <c r="G6" t="b">
        <v>1</v>
      </c>
      <c r="H6" t="b">
        <v>0</v>
      </c>
      <c r="I6" t="b">
        <v>1</v>
      </c>
      <c r="J6" t="b">
        <v>0</v>
      </c>
      <c r="K6">
        <v>0</v>
      </c>
      <c r="L6">
        <v>0</v>
      </c>
      <c r="M6">
        <v>0</v>
      </c>
      <c r="N6">
        <v>0</v>
      </c>
      <c r="O6">
        <v>0</v>
      </c>
      <c r="P6">
        <v>10001</v>
      </c>
      <c r="Q6">
        <v>0</v>
      </c>
    </row>
    <row r="7" spans="1:17" x14ac:dyDescent="0.3">
      <c r="A7">
        <v>5</v>
      </c>
      <c r="B7" t="s">
        <v>22</v>
      </c>
      <c r="C7" t="s">
        <v>17</v>
      </c>
      <c r="D7">
        <v>19</v>
      </c>
      <c r="E7">
        <v>2</v>
      </c>
      <c r="F7">
        <v>0.105263157894736</v>
      </c>
      <c r="G7" t="b">
        <v>1</v>
      </c>
      <c r="H7" t="b">
        <v>0</v>
      </c>
      <c r="I7" t="b">
        <v>1</v>
      </c>
      <c r="J7" t="b">
        <v>0</v>
      </c>
      <c r="K7">
        <v>0</v>
      </c>
      <c r="L7">
        <v>0</v>
      </c>
      <c r="M7">
        <v>0</v>
      </c>
      <c r="N7">
        <v>0</v>
      </c>
      <c r="O7">
        <v>0</v>
      </c>
      <c r="P7">
        <v>10004</v>
      </c>
      <c r="Q7">
        <v>0</v>
      </c>
    </row>
    <row r="8" spans="1:17" x14ac:dyDescent="0.3">
      <c r="A8">
        <v>6</v>
      </c>
      <c r="B8" t="s">
        <v>23</v>
      </c>
      <c r="C8" t="s">
        <v>17</v>
      </c>
      <c r="D8">
        <v>10</v>
      </c>
      <c r="E8">
        <v>4</v>
      </c>
      <c r="F8">
        <v>0.4</v>
      </c>
      <c r="G8" t="b">
        <v>1</v>
      </c>
      <c r="H8" t="b">
        <v>1</v>
      </c>
      <c r="I8" t="b">
        <v>1</v>
      </c>
      <c r="J8" t="b">
        <v>0</v>
      </c>
      <c r="K8">
        <v>0</v>
      </c>
      <c r="L8">
        <v>0</v>
      </c>
      <c r="M8">
        <v>0</v>
      </c>
      <c r="N8">
        <v>0</v>
      </c>
      <c r="O8">
        <v>0</v>
      </c>
      <c r="P8">
        <v>4853</v>
      </c>
      <c r="Q8">
        <v>0</v>
      </c>
    </row>
    <row r="9" spans="1:17" x14ac:dyDescent="0.3">
      <c r="A9">
        <v>7</v>
      </c>
      <c r="B9" t="s">
        <v>24</v>
      </c>
      <c r="C9" t="s">
        <v>17</v>
      </c>
      <c r="D9">
        <v>15</v>
      </c>
      <c r="E9">
        <v>11</v>
      </c>
      <c r="F9">
        <v>0.73333333333333295</v>
      </c>
      <c r="G9" t="b">
        <v>1</v>
      </c>
      <c r="H9" t="b">
        <v>1</v>
      </c>
      <c r="I9" t="b">
        <v>1</v>
      </c>
      <c r="J9" t="b">
        <v>0</v>
      </c>
      <c r="K9">
        <v>0</v>
      </c>
      <c r="L9">
        <v>0</v>
      </c>
      <c r="M9">
        <v>0</v>
      </c>
      <c r="N9">
        <v>0</v>
      </c>
      <c r="O9">
        <v>0</v>
      </c>
      <c r="P9">
        <v>5290</v>
      </c>
      <c r="Q9">
        <v>0</v>
      </c>
    </row>
    <row r="10" spans="1:17" x14ac:dyDescent="0.3">
      <c r="A10">
        <v>8</v>
      </c>
      <c r="B10" t="s">
        <v>25</v>
      </c>
      <c r="C10" t="s">
        <v>17</v>
      </c>
      <c r="D10">
        <v>14</v>
      </c>
      <c r="E10">
        <v>1</v>
      </c>
      <c r="F10">
        <v>7.1428571428571397E-2</v>
      </c>
      <c r="G10" t="b">
        <v>1</v>
      </c>
      <c r="H10" t="b">
        <v>0</v>
      </c>
      <c r="I10" t="b">
        <v>1</v>
      </c>
      <c r="J10" t="b">
        <v>0</v>
      </c>
      <c r="K10">
        <v>0</v>
      </c>
      <c r="L10">
        <v>0</v>
      </c>
      <c r="M10">
        <v>0</v>
      </c>
      <c r="N10">
        <v>0</v>
      </c>
      <c r="O10">
        <v>0</v>
      </c>
      <c r="P10">
        <v>10004</v>
      </c>
      <c r="Q10">
        <v>0</v>
      </c>
    </row>
    <row r="11" spans="1:17" x14ac:dyDescent="0.3">
      <c r="A11">
        <v>9</v>
      </c>
      <c r="B11" t="s">
        <v>26</v>
      </c>
      <c r="C11" t="s">
        <v>17</v>
      </c>
      <c r="D11">
        <v>15</v>
      </c>
      <c r="E11">
        <v>2</v>
      </c>
      <c r="F11">
        <v>0.133333333333333</v>
      </c>
      <c r="G11" t="b">
        <v>1</v>
      </c>
      <c r="H11" t="b">
        <v>0</v>
      </c>
      <c r="I11" t="b">
        <v>1</v>
      </c>
      <c r="J11" t="b">
        <v>0</v>
      </c>
      <c r="K11">
        <v>0</v>
      </c>
      <c r="L11">
        <v>0</v>
      </c>
      <c r="M11">
        <v>0</v>
      </c>
      <c r="N11">
        <v>0</v>
      </c>
      <c r="O11">
        <v>0</v>
      </c>
      <c r="P11">
        <v>10004</v>
      </c>
      <c r="Q11">
        <v>0</v>
      </c>
    </row>
    <row r="12" spans="1:17" x14ac:dyDescent="0.3">
      <c r="A12">
        <v>10</v>
      </c>
      <c r="B12" t="s">
        <v>27</v>
      </c>
      <c r="C12" t="s">
        <v>28</v>
      </c>
      <c r="D12">
        <v>14</v>
      </c>
      <c r="E12">
        <v>2</v>
      </c>
      <c r="F12">
        <v>0.14285714285714199</v>
      </c>
      <c r="G12" t="b">
        <v>1</v>
      </c>
      <c r="H12" t="b">
        <v>1</v>
      </c>
      <c r="I12" t="b">
        <v>1</v>
      </c>
      <c r="J12" t="b">
        <v>0</v>
      </c>
      <c r="K12">
        <v>0</v>
      </c>
      <c r="L12">
        <v>0</v>
      </c>
      <c r="M12">
        <v>0</v>
      </c>
      <c r="N12">
        <v>0</v>
      </c>
      <c r="O12">
        <v>0</v>
      </c>
      <c r="P12">
        <v>10004</v>
      </c>
      <c r="Q12">
        <v>0</v>
      </c>
    </row>
    <row r="13" spans="1:17" x14ac:dyDescent="0.3">
      <c r="A13">
        <v>11</v>
      </c>
      <c r="B13" t="s">
        <v>29</v>
      </c>
      <c r="C13" t="s">
        <v>28</v>
      </c>
      <c r="D13">
        <v>13</v>
      </c>
      <c r="E13">
        <v>2</v>
      </c>
      <c r="F13">
        <v>0.15384615384615299</v>
      </c>
      <c r="G13" t="b">
        <v>1</v>
      </c>
      <c r="H13" t="b">
        <v>0</v>
      </c>
      <c r="I13" t="b">
        <v>1</v>
      </c>
      <c r="J13" t="b">
        <v>0</v>
      </c>
      <c r="K13">
        <v>0</v>
      </c>
      <c r="L13">
        <v>0</v>
      </c>
      <c r="M13">
        <v>0</v>
      </c>
      <c r="N13">
        <v>0</v>
      </c>
      <c r="O13">
        <v>0</v>
      </c>
      <c r="P13">
        <v>10004</v>
      </c>
      <c r="Q13">
        <v>0</v>
      </c>
    </row>
    <row r="14" spans="1:17" x14ac:dyDescent="0.3">
      <c r="A14">
        <v>12</v>
      </c>
      <c r="B14" t="s">
        <v>30</v>
      </c>
      <c r="C14" t="s">
        <v>28</v>
      </c>
      <c r="D14">
        <v>12</v>
      </c>
      <c r="E14">
        <v>7</v>
      </c>
      <c r="F14">
        <v>0.58333333333333304</v>
      </c>
      <c r="G14" t="b">
        <v>1</v>
      </c>
      <c r="H14" t="b">
        <v>1</v>
      </c>
      <c r="I14" t="b">
        <v>1</v>
      </c>
      <c r="J14" t="b">
        <v>0</v>
      </c>
      <c r="K14">
        <v>0</v>
      </c>
      <c r="L14">
        <v>0</v>
      </c>
      <c r="M14">
        <v>0</v>
      </c>
      <c r="N14">
        <v>0</v>
      </c>
      <c r="O14">
        <v>0</v>
      </c>
      <c r="P14">
        <v>7328</v>
      </c>
      <c r="Q14">
        <v>0</v>
      </c>
    </row>
    <row r="15" spans="1:17" x14ac:dyDescent="0.3">
      <c r="A15">
        <v>13</v>
      </c>
      <c r="B15" t="s">
        <v>31</v>
      </c>
      <c r="C15" t="s">
        <v>28</v>
      </c>
      <c r="D15">
        <v>21</v>
      </c>
      <c r="E15">
        <v>2</v>
      </c>
      <c r="F15">
        <v>9.5238095238095205E-2</v>
      </c>
      <c r="G15" t="b">
        <v>1</v>
      </c>
      <c r="H15" t="b">
        <v>0</v>
      </c>
      <c r="I15" t="b">
        <v>1</v>
      </c>
      <c r="J15" t="b">
        <v>0</v>
      </c>
      <c r="K15">
        <v>0</v>
      </c>
      <c r="L15">
        <v>0</v>
      </c>
      <c r="M15">
        <v>0</v>
      </c>
      <c r="N15">
        <v>0</v>
      </c>
      <c r="O15">
        <v>0</v>
      </c>
      <c r="P15">
        <v>10004</v>
      </c>
      <c r="Q15">
        <v>0</v>
      </c>
    </row>
    <row r="16" spans="1:17" x14ac:dyDescent="0.3">
      <c r="A16">
        <v>14</v>
      </c>
      <c r="B16" t="s">
        <v>32</v>
      </c>
      <c r="C16" t="s">
        <v>28</v>
      </c>
      <c r="D16">
        <v>23</v>
      </c>
      <c r="E16">
        <v>7</v>
      </c>
      <c r="F16">
        <v>0.30434782608695599</v>
      </c>
      <c r="G16" t="b">
        <v>1</v>
      </c>
      <c r="H16" t="b">
        <v>1</v>
      </c>
      <c r="I16" t="b">
        <v>1</v>
      </c>
      <c r="J16" t="b">
        <v>0</v>
      </c>
      <c r="K16">
        <v>0</v>
      </c>
      <c r="L16">
        <v>0</v>
      </c>
      <c r="M16">
        <v>0</v>
      </c>
      <c r="N16">
        <v>0</v>
      </c>
      <c r="O16">
        <v>0</v>
      </c>
      <c r="P16">
        <v>8815</v>
      </c>
      <c r="Q16">
        <v>0</v>
      </c>
    </row>
    <row r="17" spans="1:17" x14ac:dyDescent="0.3">
      <c r="A17">
        <v>15</v>
      </c>
      <c r="B17" t="s">
        <v>33</v>
      </c>
      <c r="C17" t="s">
        <v>28</v>
      </c>
      <c r="D17">
        <v>30</v>
      </c>
      <c r="E17">
        <v>4</v>
      </c>
      <c r="F17">
        <v>0.133333333333333</v>
      </c>
      <c r="G17" t="b">
        <v>1</v>
      </c>
      <c r="H17" t="b">
        <v>0</v>
      </c>
      <c r="I17" t="b">
        <v>1</v>
      </c>
      <c r="J17" t="b">
        <v>0</v>
      </c>
      <c r="K17">
        <v>0</v>
      </c>
      <c r="L17">
        <v>0</v>
      </c>
      <c r="M17">
        <v>0</v>
      </c>
      <c r="N17">
        <v>0</v>
      </c>
      <c r="O17">
        <v>0</v>
      </c>
      <c r="P17">
        <v>10004</v>
      </c>
      <c r="Q17">
        <v>0</v>
      </c>
    </row>
    <row r="18" spans="1:17" x14ac:dyDescent="0.3">
      <c r="A18">
        <v>16</v>
      </c>
      <c r="B18" t="s">
        <v>34</v>
      </c>
      <c r="C18" t="s">
        <v>28</v>
      </c>
      <c r="D18">
        <v>16</v>
      </c>
      <c r="E18">
        <v>3</v>
      </c>
      <c r="F18">
        <v>0.1875</v>
      </c>
      <c r="G18" t="b">
        <v>1</v>
      </c>
      <c r="H18" t="b">
        <v>1</v>
      </c>
      <c r="I18" t="b">
        <v>1</v>
      </c>
      <c r="J18" t="b">
        <v>0</v>
      </c>
      <c r="K18">
        <v>0</v>
      </c>
      <c r="L18">
        <v>0</v>
      </c>
      <c r="M18">
        <v>0</v>
      </c>
      <c r="N18">
        <v>0</v>
      </c>
      <c r="O18">
        <v>0</v>
      </c>
      <c r="P18">
        <v>9955</v>
      </c>
      <c r="Q18">
        <v>0</v>
      </c>
    </row>
    <row r="19" spans="1:17" x14ac:dyDescent="0.3">
      <c r="A19">
        <v>17</v>
      </c>
      <c r="B19" t="s">
        <v>35</v>
      </c>
      <c r="C19" t="s">
        <v>28</v>
      </c>
      <c r="D19">
        <v>22</v>
      </c>
      <c r="E19">
        <v>1</v>
      </c>
      <c r="F19">
        <v>4.54545454545454E-2</v>
      </c>
      <c r="G19" t="b">
        <v>1</v>
      </c>
      <c r="H19" t="b">
        <v>0</v>
      </c>
      <c r="I19" t="b">
        <v>1</v>
      </c>
      <c r="J19" t="b">
        <v>0</v>
      </c>
      <c r="K19">
        <v>0</v>
      </c>
      <c r="L19">
        <v>0</v>
      </c>
      <c r="M19">
        <v>0</v>
      </c>
      <c r="N19">
        <v>0</v>
      </c>
      <c r="O19">
        <v>0</v>
      </c>
      <c r="P19">
        <v>10003</v>
      </c>
      <c r="Q19">
        <v>0</v>
      </c>
    </row>
    <row r="20" spans="1:17" x14ac:dyDescent="0.3">
      <c r="A20">
        <v>18</v>
      </c>
      <c r="B20" t="s">
        <v>36</v>
      </c>
      <c r="C20" t="s">
        <v>28</v>
      </c>
      <c r="D20">
        <v>20</v>
      </c>
      <c r="E20">
        <v>7</v>
      </c>
      <c r="F20">
        <v>0.35</v>
      </c>
      <c r="G20" t="b">
        <v>1</v>
      </c>
      <c r="H20" t="b">
        <v>1</v>
      </c>
      <c r="I20" t="b">
        <v>1</v>
      </c>
      <c r="J20" t="b">
        <v>0</v>
      </c>
      <c r="K20">
        <v>0</v>
      </c>
      <c r="L20">
        <v>0</v>
      </c>
      <c r="M20">
        <v>0</v>
      </c>
      <c r="N20">
        <v>0</v>
      </c>
      <c r="O20">
        <v>0</v>
      </c>
      <c r="P20">
        <v>6544</v>
      </c>
      <c r="Q20">
        <v>0</v>
      </c>
    </row>
    <row r="21" spans="1:17" x14ac:dyDescent="0.3">
      <c r="A21">
        <v>19</v>
      </c>
      <c r="B21" t="s">
        <v>37</v>
      </c>
      <c r="C21" t="s">
        <v>28</v>
      </c>
      <c r="D21">
        <v>14</v>
      </c>
      <c r="E21">
        <v>4</v>
      </c>
      <c r="F21">
        <v>0.28571428571428498</v>
      </c>
      <c r="G21" t="b">
        <v>1</v>
      </c>
      <c r="H21" t="b">
        <v>1</v>
      </c>
      <c r="I21" t="b">
        <v>1</v>
      </c>
      <c r="J21" t="b">
        <v>0</v>
      </c>
      <c r="K21">
        <v>0</v>
      </c>
      <c r="L21">
        <v>0</v>
      </c>
      <c r="M21">
        <v>0</v>
      </c>
      <c r="N21">
        <v>0</v>
      </c>
      <c r="O21">
        <v>0</v>
      </c>
      <c r="P21">
        <v>8394</v>
      </c>
      <c r="Q21">
        <v>0</v>
      </c>
    </row>
    <row r="22" spans="1:17" x14ac:dyDescent="0.3">
      <c r="A22">
        <v>20</v>
      </c>
      <c r="B22">
        <v>1565</v>
      </c>
      <c r="C22" t="s">
        <v>38</v>
      </c>
      <c r="D22">
        <v>5</v>
      </c>
      <c r="E22">
        <v>5</v>
      </c>
      <c r="F22">
        <v>1</v>
      </c>
      <c r="G22" t="b">
        <v>1</v>
      </c>
      <c r="H22" t="b">
        <v>1</v>
      </c>
      <c r="I22" t="b">
        <v>1</v>
      </c>
      <c r="J22" t="b">
        <v>0</v>
      </c>
      <c r="K22">
        <v>0</v>
      </c>
      <c r="L22">
        <v>0</v>
      </c>
      <c r="M22">
        <v>0</v>
      </c>
      <c r="N22">
        <v>0</v>
      </c>
      <c r="O22">
        <v>0</v>
      </c>
      <c r="P22">
        <v>4496</v>
      </c>
      <c r="Q22">
        <v>0</v>
      </c>
    </row>
    <row r="23" spans="1:17" x14ac:dyDescent="0.3">
      <c r="A23">
        <v>21</v>
      </c>
      <c r="B23">
        <v>1303</v>
      </c>
      <c r="C23" t="s">
        <v>38</v>
      </c>
      <c r="D23">
        <v>5</v>
      </c>
      <c r="E23">
        <v>5</v>
      </c>
      <c r="F23">
        <v>1</v>
      </c>
      <c r="G23" t="b">
        <v>1</v>
      </c>
      <c r="H23" t="b">
        <v>1</v>
      </c>
      <c r="I23" t="b">
        <v>1</v>
      </c>
      <c r="J23" t="b">
        <v>0</v>
      </c>
      <c r="K23">
        <v>0</v>
      </c>
      <c r="L23">
        <v>0</v>
      </c>
      <c r="M23">
        <v>0</v>
      </c>
      <c r="N23">
        <v>0</v>
      </c>
      <c r="O23">
        <v>0</v>
      </c>
      <c r="P23">
        <v>5884</v>
      </c>
      <c r="Q23">
        <v>0</v>
      </c>
    </row>
    <row r="24" spans="1:17" x14ac:dyDescent="0.3">
      <c r="A24">
        <v>22</v>
      </c>
      <c r="B24">
        <v>1907</v>
      </c>
      <c r="C24" t="s">
        <v>38</v>
      </c>
      <c r="D24">
        <v>5</v>
      </c>
      <c r="E24">
        <v>3</v>
      </c>
      <c r="F24">
        <v>0.6</v>
      </c>
      <c r="G24" t="b">
        <v>1</v>
      </c>
      <c r="H24" t="b">
        <v>1</v>
      </c>
      <c r="I24" t="b">
        <v>1</v>
      </c>
      <c r="J24" t="b">
        <v>0</v>
      </c>
      <c r="K24">
        <v>0</v>
      </c>
      <c r="L24">
        <v>0</v>
      </c>
      <c r="M24">
        <v>0</v>
      </c>
      <c r="N24">
        <v>0</v>
      </c>
      <c r="O24">
        <v>0</v>
      </c>
      <c r="P24">
        <v>4157</v>
      </c>
      <c r="Q24">
        <v>0</v>
      </c>
    </row>
    <row r="25" spans="1:17" x14ac:dyDescent="0.3">
      <c r="A25">
        <v>23</v>
      </c>
      <c r="B25">
        <v>1635</v>
      </c>
      <c r="C25" t="s">
        <v>38</v>
      </c>
      <c r="D25">
        <v>6</v>
      </c>
      <c r="E25">
        <v>3</v>
      </c>
      <c r="F25">
        <v>0.5</v>
      </c>
      <c r="G25" t="b">
        <v>1</v>
      </c>
      <c r="H25" t="b">
        <v>1</v>
      </c>
      <c r="I25" t="b">
        <v>1</v>
      </c>
      <c r="J25" t="b">
        <v>0</v>
      </c>
      <c r="K25">
        <v>0</v>
      </c>
      <c r="L25">
        <v>0</v>
      </c>
      <c r="M25">
        <v>0</v>
      </c>
      <c r="N25">
        <v>0</v>
      </c>
      <c r="O25">
        <v>0</v>
      </c>
      <c r="P25">
        <v>5474</v>
      </c>
      <c r="Q25">
        <v>0</v>
      </c>
    </row>
    <row r="26" spans="1:17" x14ac:dyDescent="0.3">
      <c r="A26">
        <v>24</v>
      </c>
      <c r="B26">
        <v>1265</v>
      </c>
      <c r="C26" t="s">
        <v>38</v>
      </c>
      <c r="D26">
        <v>3</v>
      </c>
      <c r="E26">
        <v>2</v>
      </c>
      <c r="F26">
        <v>0.66666666666666596</v>
      </c>
      <c r="G26" t="b">
        <v>1</v>
      </c>
      <c r="H26" t="b">
        <v>1</v>
      </c>
      <c r="I26" t="b">
        <v>1</v>
      </c>
      <c r="J26" t="b">
        <v>0</v>
      </c>
      <c r="K26">
        <v>0</v>
      </c>
      <c r="L26">
        <v>0</v>
      </c>
      <c r="M26">
        <v>0</v>
      </c>
      <c r="N26">
        <v>0</v>
      </c>
      <c r="O26">
        <v>0</v>
      </c>
      <c r="P26">
        <v>3726</v>
      </c>
      <c r="Q26">
        <v>0</v>
      </c>
    </row>
    <row r="27" spans="1:17" x14ac:dyDescent="0.3">
      <c r="A27">
        <v>25</v>
      </c>
      <c r="B27">
        <v>943</v>
      </c>
      <c r="C27" t="s">
        <v>38</v>
      </c>
      <c r="D27">
        <v>3</v>
      </c>
      <c r="E27">
        <v>2</v>
      </c>
      <c r="F27">
        <v>0.66666666666666596</v>
      </c>
      <c r="G27" t="b">
        <v>1</v>
      </c>
      <c r="H27" t="b">
        <v>1</v>
      </c>
      <c r="I27" t="b">
        <v>1</v>
      </c>
      <c r="J27" t="b">
        <v>0</v>
      </c>
      <c r="K27">
        <v>0</v>
      </c>
      <c r="L27">
        <v>0</v>
      </c>
      <c r="M27">
        <v>0</v>
      </c>
      <c r="N27">
        <v>0</v>
      </c>
      <c r="O27">
        <v>0</v>
      </c>
      <c r="P27">
        <v>4542</v>
      </c>
      <c r="Q27">
        <v>0</v>
      </c>
    </row>
    <row r="28" spans="1:17" x14ac:dyDescent="0.3">
      <c r="A28">
        <v>26</v>
      </c>
      <c r="B28">
        <v>168</v>
      </c>
      <c r="C28" t="s">
        <v>38</v>
      </c>
      <c r="D28">
        <v>5</v>
      </c>
      <c r="E28">
        <v>5</v>
      </c>
      <c r="F28">
        <v>1</v>
      </c>
      <c r="G28" t="b">
        <v>1</v>
      </c>
      <c r="H28" t="b">
        <v>1</v>
      </c>
      <c r="I28" t="b">
        <v>1</v>
      </c>
      <c r="J28" t="b">
        <v>0</v>
      </c>
      <c r="K28">
        <v>0</v>
      </c>
      <c r="L28">
        <v>0</v>
      </c>
      <c r="M28">
        <v>0</v>
      </c>
      <c r="N28">
        <v>0</v>
      </c>
      <c r="O28">
        <v>0</v>
      </c>
      <c r="P28">
        <v>6567</v>
      </c>
      <c r="Q28">
        <v>0</v>
      </c>
    </row>
    <row r="29" spans="1:17" x14ac:dyDescent="0.3">
      <c r="A29">
        <v>27</v>
      </c>
      <c r="B29">
        <v>1231</v>
      </c>
      <c r="C29" t="s">
        <v>38</v>
      </c>
      <c r="D29">
        <v>4</v>
      </c>
      <c r="E29">
        <v>4</v>
      </c>
      <c r="F29">
        <v>1</v>
      </c>
      <c r="G29" t="b">
        <v>1</v>
      </c>
      <c r="H29" t="b">
        <v>1</v>
      </c>
      <c r="I29" t="b">
        <v>1</v>
      </c>
      <c r="J29" t="b">
        <v>0</v>
      </c>
      <c r="K29">
        <v>0</v>
      </c>
      <c r="L29">
        <v>0</v>
      </c>
      <c r="M29">
        <v>0</v>
      </c>
      <c r="N29">
        <v>0</v>
      </c>
      <c r="O29">
        <v>0</v>
      </c>
      <c r="P29">
        <v>7030</v>
      </c>
      <c r="Q29">
        <v>0</v>
      </c>
    </row>
    <row r="30" spans="1:17" x14ac:dyDescent="0.3">
      <c r="A30">
        <v>28</v>
      </c>
      <c r="B30">
        <v>1393</v>
      </c>
      <c r="C30" t="s">
        <v>38</v>
      </c>
      <c r="D30">
        <v>5</v>
      </c>
      <c r="E30">
        <v>2</v>
      </c>
      <c r="F30">
        <v>0.4</v>
      </c>
      <c r="G30" t="b">
        <v>1</v>
      </c>
      <c r="H30" t="b">
        <v>1</v>
      </c>
      <c r="I30" t="b">
        <v>1</v>
      </c>
      <c r="J30" t="b">
        <v>0</v>
      </c>
      <c r="K30">
        <v>0</v>
      </c>
      <c r="L30">
        <v>0</v>
      </c>
      <c r="M30">
        <v>0</v>
      </c>
      <c r="N30">
        <v>0</v>
      </c>
      <c r="O30">
        <v>0</v>
      </c>
      <c r="P30">
        <v>9904</v>
      </c>
      <c r="Q30">
        <v>0</v>
      </c>
    </row>
    <row r="31" spans="1:17" x14ac:dyDescent="0.3">
      <c r="A31">
        <v>29</v>
      </c>
      <c r="B31">
        <v>49</v>
      </c>
      <c r="C31" t="s">
        <v>38</v>
      </c>
      <c r="D31">
        <v>4</v>
      </c>
      <c r="E31">
        <v>4</v>
      </c>
      <c r="F31">
        <v>1</v>
      </c>
      <c r="G31" t="b">
        <v>1</v>
      </c>
      <c r="H31" t="b">
        <v>1</v>
      </c>
      <c r="I31" t="b">
        <v>1</v>
      </c>
      <c r="J31" t="b">
        <v>0</v>
      </c>
      <c r="K31">
        <v>0</v>
      </c>
      <c r="L31">
        <v>0</v>
      </c>
      <c r="M31">
        <v>0</v>
      </c>
      <c r="N31">
        <v>0</v>
      </c>
      <c r="O31">
        <v>0</v>
      </c>
      <c r="P31">
        <v>10004</v>
      </c>
      <c r="Q31">
        <v>0</v>
      </c>
    </row>
    <row r="32" spans="1:17" x14ac:dyDescent="0.3">
      <c r="A32">
        <v>30</v>
      </c>
      <c r="B32">
        <v>433</v>
      </c>
      <c r="C32" t="s">
        <v>39</v>
      </c>
      <c r="D32">
        <v>6</v>
      </c>
      <c r="E32">
        <v>5</v>
      </c>
      <c r="F32">
        <v>0.83333333333333304</v>
      </c>
      <c r="G32" t="b">
        <v>1</v>
      </c>
      <c r="H32" t="b">
        <v>1</v>
      </c>
      <c r="I32" t="b">
        <v>1</v>
      </c>
      <c r="J32" t="b">
        <v>0</v>
      </c>
      <c r="K32">
        <v>0</v>
      </c>
      <c r="L32">
        <v>0</v>
      </c>
      <c r="M32">
        <v>0</v>
      </c>
      <c r="N32">
        <v>0</v>
      </c>
      <c r="O32">
        <v>0</v>
      </c>
      <c r="P32">
        <v>8787</v>
      </c>
      <c r="Q32">
        <v>0</v>
      </c>
    </row>
    <row r="33" spans="1:17" x14ac:dyDescent="0.3">
      <c r="A33">
        <v>31</v>
      </c>
      <c r="B33">
        <v>429</v>
      </c>
      <c r="C33" t="s">
        <v>39</v>
      </c>
      <c r="D33">
        <v>5</v>
      </c>
      <c r="E33">
        <v>5</v>
      </c>
      <c r="F33">
        <v>1</v>
      </c>
      <c r="G33" t="b">
        <v>1</v>
      </c>
      <c r="H33" t="b">
        <v>1</v>
      </c>
      <c r="I33" t="b">
        <v>1</v>
      </c>
      <c r="J33" t="b">
        <v>0</v>
      </c>
      <c r="K33">
        <v>0</v>
      </c>
      <c r="L33">
        <v>0</v>
      </c>
      <c r="M33">
        <v>0</v>
      </c>
      <c r="N33">
        <v>0</v>
      </c>
      <c r="O33">
        <v>0</v>
      </c>
      <c r="P33">
        <v>7395</v>
      </c>
      <c r="Q33">
        <v>0</v>
      </c>
    </row>
    <row r="34" spans="1:17" x14ac:dyDescent="0.3">
      <c r="A34">
        <v>32</v>
      </c>
      <c r="B34">
        <v>432</v>
      </c>
      <c r="C34" t="s">
        <v>39</v>
      </c>
      <c r="D34">
        <v>6</v>
      </c>
      <c r="E34">
        <v>2</v>
      </c>
      <c r="F34">
        <v>0.33333333333333298</v>
      </c>
      <c r="G34" t="b">
        <v>1</v>
      </c>
      <c r="H34" t="b">
        <v>1</v>
      </c>
      <c r="I34" t="b">
        <v>1</v>
      </c>
      <c r="J34" t="b">
        <v>0</v>
      </c>
      <c r="K34">
        <v>0</v>
      </c>
      <c r="L34">
        <v>0</v>
      </c>
      <c r="M34">
        <v>0</v>
      </c>
      <c r="N34">
        <v>0</v>
      </c>
      <c r="O34">
        <v>0</v>
      </c>
      <c r="P34">
        <v>8303</v>
      </c>
      <c r="Q34">
        <v>0</v>
      </c>
    </row>
    <row r="35" spans="1:17" x14ac:dyDescent="0.3">
      <c r="A35">
        <v>33</v>
      </c>
      <c r="B35">
        <v>434</v>
      </c>
      <c r="C35" t="s">
        <v>39</v>
      </c>
      <c r="D35">
        <v>5</v>
      </c>
      <c r="E35">
        <v>0</v>
      </c>
      <c r="F35">
        <v>0</v>
      </c>
      <c r="G35" t="b">
        <v>1</v>
      </c>
      <c r="H35" t="b">
        <v>1</v>
      </c>
      <c r="I35" t="b">
        <v>1</v>
      </c>
      <c r="J35" t="b">
        <v>0</v>
      </c>
      <c r="K35">
        <v>0</v>
      </c>
      <c r="L35">
        <v>0</v>
      </c>
      <c r="M35">
        <v>0</v>
      </c>
      <c r="N35">
        <v>0</v>
      </c>
      <c r="O35">
        <v>0</v>
      </c>
      <c r="P35">
        <v>8091</v>
      </c>
      <c r="Q35">
        <v>0</v>
      </c>
    </row>
    <row r="36" spans="1:17" x14ac:dyDescent="0.3">
      <c r="A36">
        <v>34</v>
      </c>
      <c r="B36">
        <v>411</v>
      </c>
      <c r="C36" t="s">
        <v>39</v>
      </c>
      <c r="D36">
        <v>9</v>
      </c>
      <c r="E36">
        <v>6</v>
      </c>
      <c r="F36">
        <v>0.66666666666666596</v>
      </c>
      <c r="G36" t="b">
        <v>1</v>
      </c>
      <c r="H36" t="b">
        <v>1</v>
      </c>
      <c r="I36" t="b">
        <v>1</v>
      </c>
      <c r="J36" t="b">
        <v>0</v>
      </c>
      <c r="K36">
        <v>0</v>
      </c>
      <c r="L36">
        <v>0</v>
      </c>
      <c r="M36">
        <v>0</v>
      </c>
      <c r="N36">
        <v>0</v>
      </c>
      <c r="O36">
        <v>0</v>
      </c>
      <c r="P36">
        <v>4047</v>
      </c>
      <c r="Q36">
        <v>0</v>
      </c>
    </row>
    <row r="37" spans="1:17" x14ac:dyDescent="0.3">
      <c r="A37">
        <v>35</v>
      </c>
      <c r="B37">
        <v>418</v>
      </c>
      <c r="C37" t="s">
        <v>39</v>
      </c>
      <c r="D37">
        <v>6</v>
      </c>
      <c r="E37">
        <v>4</v>
      </c>
      <c r="F37">
        <v>0.66666666666666596</v>
      </c>
      <c r="G37" t="b">
        <v>1</v>
      </c>
      <c r="H37" t="b">
        <v>1</v>
      </c>
      <c r="I37" t="b">
        <v>1</v>
      </c>
      <c r="J37" t="b">
        <v>0</v>
      </c>
      <c r="K37">
        <v>0</v>
      </c>
      <c r="L37">
        <v>0</v>
      </c>
      <c r="M37">
        <v>0</v>
      </c>
      <c r="N37">
        <v>0</v>
      </c>
      <c r="O37">
        <v>0</v>
      </c>
      <c r="P37">
        <v>2512</v>
      </c>
      <c r="Q37">
        <v>0</v>
      </c>
    </row>
    <row r="38" spans="1:17" x14ac:dyDescent="0.3">
      <c r="A38">
        <v>36</v>
      </c>
      <c r="B38">
        <v>400</v>
      </c>
      <c r="C38" t="s">
        <v>39</v>
      </c>
      <c r="D38">
        <v>6</v>
      </c>
      <c r="E38">
        <v>4</v>
      </c>
      <c r="F38">
        <v>0.66666666666666596</v>
      </c>
      <c r="G38" t="b">
        <v>1</v>
      </c>
      <c r="H38" t="b">
        <v>1</v>
      </c>
      <c r="I38" t="b">
        <v>1</v>
      </c>
      <c r="J38" t="b">
        <v>0</v>
      </c>
      <c r="K38">
        <v>0</v>
      </c>
      <c r="L38">
        <v>0</v>
      </c>
      <c r="M38">
        <v>0</v>
      </c>
      <c r="N38">
        <v>0</v>
      </c>
      <c r="O38">
        <v>0</v>
      </c>
      <c r="P38">
        <v>6868</v>
      </c>
      <c r="Q38">
        <v>0</v>
      </c>
    </row>
    <row r="39" spans="1:17" x14ac:dyDescent="0.3">
      <c r="A39">
        <v>37</v>
      </c>
      <c r="B39">
        <v>397</v>
      </c>
      <c r="C39" t="s">
        <v>39</v>
      </c>
      <c r="D39">
        <v>6</v>
      </c>
      <c r="E39">
        <v>0</v>
      </c>
      <c r="F39">
        <v>0</v>
      </c>
      <c r="G39" t="b">
        <v>1</v>
      </c>
      <c r="H39" t="b">
        <v>1</v>
      </c>
      <c r="I39" t="b">
        <v>1</v>
      </c>
      <c r="J39" t="b">
        <v>0</v>
      </c>
      <c r="K39">
        <v>0</v>
      </c>
      <c r="L39">
        <v>0</v>
      </c>
      <c r="M39">
        <v>0</v>
      </c>
      <c r="N39">
        <v>0</v>
      </c>
      <c r="O39">
        <v>0</v>
      </c>
      <c r="P39">
        <v>9506</v>
      </c>
      <c r="Q39">
        <v>0</v>
      </c>
    </row>
    <row r="40" spans="1:17" x14ac:dyDescent="0.3">
      <c r="A40">
        <v>38</v>
      </c>
      <c r="B40">
        <v>414</v>
      </c>
      <c r="C40" t="s">
        <v>39</v>
      </c>
      <c r="D40">
        <v>10</v>
      </c>
      <c r="E40">
        <v>5</v>
      </c>
      <c r="F40">
        <v>0.5</v>
      </c>
      <c r="G40" t="b">
        <v>1</v>
      </c>
      <c r="H40" t="b">
        <v>1</v>
      </c>
      <c r="I40" t="b">
        <v>1</v>
      </c>
      <c r="J40" t="b">
        <v>0</v>
      </c>
      <c r="K40">
        <v>0</v>
      </c>
      <c r="L40">
        <v>0</v>
      </c>
      <c r="M40">
        <v>0</v>
      </c>
      <c r="N40">
        <v>0</v>
      </c>
      <c r="O40">
        <v>0</v>
      </c>
      <c r="P40">
        <v>6310</v>
      </c>
      <c r="Q40">
        <v>0</v>
      </c>
    </row>
    <row r="41" spans="1:17" x14ac:dyDescent="0.3">
      <c r="A41">
        <v>39</v>
      </c>
      <c r="B41">
        <v>399</v>
      </c>
      <c r="C41" t="s">
        <v>39</v>
      </c>
      <c r="D41">
        <v>8</v>
      </c>
      <c r="E41">
        <v>7</v>
      </c>
      <c r="F41">
        <v>0.875</v>
      </c>
      <c r="G41" t="b">
        <v>1</v>
      </c>
      <c r="H41" t="b">
        <v>1</v>
      </c>
      <c r="I41" t="b">
        <v>1</v>
      </c>
      <c r="J41" t="b">
        <v>0</v>
      </c>
      <c r="K41">
        <v>0</v>
      </c>
      <c r="L41">
        <v>0</v>
      </c>
      <c r="M41">
        <v>0</v>
      </c>
      <c r="N41">
        <v>0</v>
      </c>
      <c r="O41">
        <v>0</v>
      </c>
      <c r="P41">
        <v>6502</v>
      </c>
      <c r="Q41">
        <v>0</v>
      </c>
    </row>
    <row r="42" spans="1:17" x14ac:dyDescent="0.3">
      <c r="A42">
        <v>40</v>
      </c>
      <c r="B42" t="s">
        <v>40</v>
      </c>
      <c r="C42" t="s">
        <v>41</v>
      </c>
      <c r="D42">
        <v>20</v>
      </c>
      <c r="E42">
        <v>12</v>
      </c>
      <c r="F42">
        <v>0.6</v>
      </c>
      <c r="G42" t="b">
        <v>1</v>
      </c>
      <c r="H42" t="b">
        <v>1</v>
      </c>
      <c r="I42" t="b">
        <v>1</v>
      </c>
      <c r="J42" t="b">
        <v>0</v>
      </c>
      <c r="K42">
        <v>0</v>
      </c>
      <c r="L42">
        <v>0</v>
      </c>
      <c r="M42">
        <v>0</v>
      </c>
      <c r="N42">
        <v>0</v>
      </c>
      <c r="O42">
        <v>0</v>
      </c>
      <c r="P42">
        <v>9039</v>
      </c>
      <c r="Q42">
        <v>0</v>
      </c>
    </row>
    <row r="43" spans="1:17" x14ac:dyDescent="0.3">
      <c r="A43">
        <v>41</v>
      </c>
      <c r="B43" t="s">
        <v>42</v>
      </c>
      <c r="C43" t="s">
        <v>41</v>
      </c>
      <c r="D43">
        <v>12</v>
      </c>
      <c r="E43">
        <v>2</v>
      </c>
      <c r="F43">
        <v>0.16666666666666599</v>
      </c>
      <c r="G43" t="b">
        <v>1</v>
      </c>
      <c r="H43" t="b">
        <v>0</v>
      </c>
      <c r="I43" t="b">
        <v>1</v>
      </c>
      <c r="J43" t="b">
        <v>0</v>
      </c>
      <c r="K43">
        <v>0</v>
      </c>
      <c r="L43">
        <v>0</v>
      </c>
      <c r="M43">
        <v>0</v>
      </c>
      <c r="N43">
        <v>0</v>
      </c>
      <c r="O43">
        <v>0</v>
      </c>
      <c r="P43">
        <v>10006</v>
      </c>
      <c r="Q43">
        <v>0</v>
      </c>
    </row>
    <row r="44" spans="1:17" x14ac:dyDescent="0.3">
      <c r="A44">
        <v>42</v>
      </c>
      <c r="B44" t="s">
        <v>43</v>
      </c>
      <c r="C44" t="s">
        <v>41</v>
      </c>
      <c r="D44">
        <v>14</v>
      </c>
      <c r="E44">
        <v>3</v>
      </c>
      <c r="F44">
        <v>0.214285714285714</v>
      </c>
      <c r="G44" t="b">
        <v>1</v>
      </c>
      <c r="H44" t="b">
        <v>0</v>
      </c>
      <c r="I44" t="b">
        <v>1</v>
      </c>
      <c r="J44" t="b">
        <v>0</v>
      </c>
      <c r="K44">
        <v>0</v>
      </c>
      <c r="L44">
        <v>0</v>
      </c>
      <c r="M44">
        <v>0</v>
      </c>
      <c r="N44">
        <v>0</v>
      </c>
      <c r="O44">
        <v>0</v>
      </c>
      <c r="P44">
        <v>10003</v>
      </c>
      <c r="Q44">
        <v>0</v>
      </c>
    </row>
    <row r="45" spans="1:17" x14ac:dyDescent="0.3">
      <c r="A45">
        <v>43</v>
      </c>
      <c r="B45" t="s">
        <v>44</v>
      </c>
      <c r="C45" t="s">
        <v>41</v>
      </c>
      <c r="D45">
        <v>17</v>
      </c>
      <c r="E45">
        <v>11</v>
      </c>
      <c r="F45">
        <v>0.64705882352941102</v>
      </c>
      <c r="G45" t="b">
        <v>1</v>
      </c>
      <c r="H45" t="b">
        <v>1</v>
      </c>
      <c r="I45" t="b">
        <v>1</v>
      </c>
      <c r="J45" t="b">
        <v>0</v>
      </c>
      <c r="K45">
        <v>0</v>
      </c>
      <c r="L45">
        <v>0</v>
      </c>
      <c r="M45">
        <v>0</v>
      </c>
      <c r="N45">
        <v>0</v>
      </c>
      <c r="O45">
        <v>0</v>
      </c>
      <c r="P45">
        <v>6424</v>
      </c>
      <c r="Q45">
        <v>0</v>
      </c>
    </row>
    <row r="46" spans="1:17" x14ac:dyDescent="0.3">
      <c r="A46">
        <v>44</v>
      </c>
      <c r="B46" t="s">
        <v>45</v>
      </c>
      <c r="C46" t="s">
        <v>41</v>
      </c>
      <c r="D46">
        <v>13</v>
      </c>
      <c r="E46">
        <v>13</v>
      </c>
      <c r="F46">
        <v>1</v>
      </c>
      <c r="G46" t="b">
        <v>1</v>
      </c>
      <c r="H46" t="b">
        <v>1</v>
      </c>
      <c r="I46" t="b">
        <v>1</v>
      </c>
      <c r="J46" t="b">
        <v>0</v>
      </c>
      <c r="K46">
        <v>0</v>
      </c>
      <c r="L46">
        <v>0</v>
      </c>
      <c r="M46">
        <v>0</v>
      </c>
      <c r="N46">
        <v>0</v>
      </c>
      <c r="O46">
        <v>0</v>
      </c>
      <c r="P46">
        <v>8763</v>
      </c>
      <c r="Q46">
        <v>0</v>
      </c>
    </row>
    <row r="47" spans="1:17" x14ac:dyDescent="0.3">
      <c r="A47">
        <v>45</v>
      </c>
      <c r="B47" t="s">
        <v>46</v>
      </c>
      <c r="C47" t="s">
        <v>41</v>
      </c>
      <c r="D47">
        <v>15</v>
      </c>
      <c r="E47">
        <v>9</v>
      </c>
      <c r="F47">
        <v>0.6</v>
      </c>
      <c r="G47" t="b">
        <v>1</v>
      </c>
      <c r="H47" t="b">
        <v>1</v>
      </c>
      <c r="I47" t="b">
        <v>1</v>
      </c>
      <c r="J47" t="b">
        <v>0</v>
      </c>
      <c r="K47">
        <v>0</v>
      </c>
      <c r="L47">
        <v>0</v>
      </c>
      <c r="M47">
        <v>0</v>
      </c>
      <c r="N47">
        <v>0</v>
      </c>
      <c r="O47">
        <v>0</v>
      </c>
      <c r="P47">
        <v>6484</v>
      </c>
      <c r="Q47">
        <v>0</v>
      </c>
    </row>
    <row r="48" spans="1:17" x14ac:dyDescent="0.3">
      <c r="A48">
        <v>46</v>
      </c>
      <c r="B48" t="s">
        <v>47</v>
      </c>
      <c r="C48" t="s">
        <v>41</v>
      </c>
      <c r="D48">
        <v>11</v>
      </c>
      <c r="E48">
        <v>1</v>
      </c>
      <c r="F48">
        <v>9.0909090909090898E-2</v>
      </c>
      <c r="G48" t="b">
        <v>1</v>
      </c>
      <c r="H48" t="b">
        <v>1</v>
      </c>
      <c r="I48" t="b">
        <v>1</v>
      </c>
      <c r="J48" t="b">
        <v>0</v>
      </c>
      <c r="K48">
        <v>0</v>
      </c>
      <c r="L48">
        <v>0</v>
      </c>
      <c r="M48">
        <v>0</v>
      </c>
      <c r="N48">
        <v>0</v>
      </c>
      <c r="O48">
        <v>0</v>
      </c>
      <c r="P48">
        <v>6168</v>
      </c>
      <c r="Q48">
        <v>0</v>
      </c>
    </row>
    <row r="49" spans="1:17" x14ac:dyDescent="0.3">
      <c r="A49">
        <v>47</v>
      </c>
      <c r="B49" t="s">
        <v>48</v>
      </c>
      <c r="C49" t="s">
        <v>41</v>
      </c>
      <c r="D49">
        <v>23</v>
      </c>
      <c r="E49">
        <v>14</v>
      </c>
      <c r="F49">
        <v>0.60869565217391297</v>
      </c>
      <c r="G49" t="b">
        <v>1</v>
      </c>
      <c r="H49" t="b">
        <v>1</v>
      </c>
      <c r="I49" t="b">
        <v>1</v>
      </c>
      <c r="J49" t="b">
        <v>0</v>
      </c>
      <c r="K49">
        <v>0</v>
      </c>
      <c r="L49">
        <v>0</v>
      </c>
      <c r="M49">
        <v>0</v>
      </c>
      <c r="N49">
        <v>0</v>
      </c>
      <c r="O49">
        <v>0</v>
      </c>
      <c r="P49">
        <v>9377</v>
      </c>
      <c r="Q49">
        <v>0</v>
      </c>
    </row>
    <row r="50" spans="1:17" x14ac:dyDescent="0.3">
      <c r="A50">
        <v>48</v>
      </c>
      <c r="B50" t="s">
        <v>49</v>
      </c>
      <c r="C50" t="s">
        <v>41</v>
      </c>
      <c r="D50">
        <v>23</v>
      </c>
      <c r="E50">
        <v>12</v>
      </c>
      <c r="F50">
        <v>0.52173913043478204</v>
      </c>
      <c r="G50" t="b">
        <v>1</v>
      </c>
      <c r="H50" t="b">
        <v>1</v>
      </c>
      <c r="I50" t="b">
        <v>1</v>
      </c>
      <c r="J50" t="b">
        <v>0</v>
      </c>
      <c r="K50">
        <v>0</v>
      </c>
      <c r="L50">
        <v>0</v>
      </c>
      <c r="M50">
        <v>0</v>
      </c>
      <c r="N50">
        <v>0</v>
      </c>
      <c r="O50">
        <v>0</v>
      </c>
      <c r="P50">
        <v>7285</v>
      </c>
      <c r="Q50">
        <v>0</v>
      </c>
    </row>
    <row r="51" spans="1:17" x14ac:dyDescent="0.3">
      <c r="A51">
        <v>49</v>
      </c>
      <c r="B51" t="s">
        <v>50</v>
      </c>
      <c r="C51" t="s">
        <v>41</v>
      </c>
      <c r="D51">
        <v>14</v>
      </c>
      <c r="E51">
        <v>11</v>
      </c>
      <c r="F51">
        <v>0.78571428571428503</v>
      </c>
      <c r="G51" t="b">
        <v>1</v>
      </c>
      <c r="H51" t="b">
        <v>1</v>
      </c>
      <c r="I51" t="b">
        <v>1</v>
      </c>
      <c r="J51" t="b">
        <v>0</v>
      </c>
      <c r="K51">
        <v>0</v>
      </c>
      <c r="L51">
        <v>0</v>
      </c>
      <c r="M51">
        <v>0</v>
      </c>
      <c r="N51">
        <v>0</v>
      </c>
      <c r="O51">
        <v>0</v>
      </c>
      <c r="P51">
        <v>6752</v>
      </c>
      <c r="Q51">
        <v>0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5B90B06-75CD-4388-98EA-98A4F23A0295}">
  <dimension ref="A1:Q51"/>
  <sheetViews>
    <sheetView workbookViewId="0">
      <pane xSplit="1" ySplit="1" topLeftCell="B28" activePane="bottomRight" state="frozen"/>
      <selection pane="topRight" activeCell="B1" sqref="B1"/>
      <selection pane="bottomLeft" activeCell="A2" sqref="A2"/>
      <selection pane="bottomRight" activeCell="C1" sqref="C1"/>
    </sheetView>
  </sheetViews>
  <sheetFormatPr defaultRowHeight="14.4" x14ac:dyDescent="0.3"/>
  <sheetData>
    <row r="1" spans="1:17" x14ac:dyDescent="0.3">
      <c r="A1" s="1"/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  <c r="K1" s="1" t="s">
        <v>9</v>
      </c>
      <c r="L1" s="1" t="s">
        <v>10</v>
      </c>
      <c r="M1" s="1" t="s">
        <v>11</v>
      </c>
      <c r="N1" s="1" t="s">
        <v>12</v>
      </c>
      <c r="O1" s="1" t="s">
        <v>13</v>
      </c>
      <c r="P1" s="1" t="s">
        <v>14</v>
      </c>
      <c r="Q1" s="1" t="s">
        <v>15</v>
      </c>
    </row>
    <row r="2" spans="1:17" x14ac:dyDescent="0.3">
      <c r="A2">
        <v>0</v>
      </c>
      <c r="B2" t="s">
        <v>18</v>
      </c>
      <c r="C2" t="s">
        <v>17</v>
      </c>
      <c r="D2">
        <v>16</v>
      </c>
      <c r="E2">
        <v>11</v>
      </c>
      <c r="F2">
        <v>0.6875</v>
      </c>
      <c r="G2" t="b">
        <v>1</v>
      </c>
      <c r="H2" t="b">
        <v>1</v>
      </c>
      <c r="I2" t="b">
        <v>0</v>
      </c>
      <c r="J2" t="b">
        <v>1</v>
      </c>
      <c r="K2">
        <v>1</v>
      </c>
      <c r="L2">
        <v>0</v>
      </c>
      <c r="M2">
        <v>1</v>
      </c>
      <c r="N2">
        <v>0</v>
      </c>
      <c r="O2">
        <v>0</v>
      </c>
      <c r="P2">
        <v>2417</v>
      </c>
      <c r="Q2">
        <v>1745</v>
      </c>
    </row>
    <row r="3" spans="1:17" x14ac:dyDescent="0.3">
      <c r="A3">
        <v>1</v>
      </c>
      <c r="B3" t="s">
        <v>24</v>
      </c>
      <c r="C3" t="s">
        <v>17</v>
      </c>
      <c r="D3">
        <v>15</v>
      </c>
      <c r="E3">
        <v>5</v>
      </c>
      <c r="F3">
        <v>0.33333333333333298</v>
      </c>
      <c r="G3" t="b">
        <v>1</v>
      </c>
      <c r="H3" t="b">
        <v>1</v>
      </c>
      <c r="I3" t="b">
        <v>0</v>
      </c>
      <c r="J3" t="b">
        <v>1</v>
      </c>
      <c r="K3">
        <v>0</v>
      </c>
      <c r="L3">
        <v>0</v>
      </c>
      <c r="M3">
        <v>0</v>
      </c>
      <c r="N3">
        <v>0</v>
      </c>
      <c r="O3">
        <v>0</v>
      </c>
      <c r="P3">
        <v>2291</v>
      </c>
      <c r="Q3">
        <v>0</v>
      </c>
    </row>
    <row r="4" spans="1:17" x14ac:dyDescent="0.3">
      <c r="A4">
        <v>2</v>
      </c>
      <c r="B4" t="s">
        <v>16</v>
      </c>
      <c r="C4" t="s">
        <v>17</v>
      </c>
      <c r="D4">
        <v>18</v>
      </c>
      <c r="E4">
        <v>1</v>
      </c>
      <c r="F4">
        <v>5.5555555555555497E-2</v>
      </c>
      <c r="G4" t="b">
        <v>1</v>
      </c>
      <c r="H4" t="b">
        <v>1</v>
      </c>
      <c r="I4" t="b">
        <v>0</v>
      </c>
      <c r="J4" t="b">
        <v>1</v>
      </c>
      <c r="K4">
        <v>1</v>
      </c>
      <c r="L4">
        <v>0</v>
      </c>
      <c r="M4">
        <v>1</v>
      </c>
      <c r="N4">
        <v>0</v>
      </c>
      <c r="O4">
        <v>0</v>
      </c>
      <c r="P4">
        <v>2114</v>
      </c>
      <c r="Q4">
        <v>1386</v>
      </c>
    </row>
    <row r="5" spans="1:17" x14ac:dyDescent="0.3">
      <c r="A5">
        <v>3</v>
      </c>
      <c r="B5" t="s">
        <v>23</v>
      </c>
      <c r="C5" t="s">
        <v>17</v>
      </c>
      <c r="D5">
        <v>10</v>
      </c>
      <c r="E5">
        <v>5</v>
      </c>
      <c r="F5">
        <v>0.5</v>
      </c>
      <c r="G5" t="b">
        <v>1</v>
      </c>
      <c r="H5" t="b">
        <v>1</v>
      </c>
      <c r="I5" t="b">
        <v>1</v>
      </c>
      <c r="J5" t="b">
        <v>1</v>
      </c>
      <c r="K5">
        <v>3</v>
      </c>
      <c r="L5">
        <v>0</v>
      </c>
      <c r="M5">
        <v>1</v>
      </c>
      <c r="N5">
        <v>0</v>
      </c>
      <c r="O5">
        <v>2</v>
      </c>
      <c r="P5">
        <v>3157</v>
      </c>
      <c r="Q5">
        <v>2260</v>
      </c>
    </row>
    <row r="6" spans="1:17" x14ac:dyDescent="0.3">
      <c r="A6">
        <v>4</v>
      </c>
      <c r="B6" t="s">
        <v>20</v>
      </c>
      <c r="C6" t="s">
        <v>17</v>
      </c>
      <c r="D6">
        <v>26</v>
      </c>
      <c r="E6">
        <v>6</v>
      </c>
      <c r="F6">
        <v>0.23076923076923</v>
      </c>
      <c r="G6" t="b">
        <v>1</v>
      </c>
      <c r="H6" t="b">
        <v>1</v>
      </c>
      <c r="I6" t="b">
        <v>0</v>
      </c>
      <c r="J6" t="b">
        <v>1</v>
      </c>
      <c r="K6">
        <v>2</v>
      </c>
      <c r="L6">
        <v>1</v>
      </c>
      <c r="M6">
        <v>0</v>
      </c>
      <c r="N6">
        <v>0</v>
      </c>
      <c r="O6">
        <v>1</v>
      </c>
      <c r="P6">
        <v>2653</v>
      </c>
      <c r="Q6">
        <v>841</v>
      </c>
    </row>
    <row r="7" spans="1:17" x14ac:dyDescent="0.3">
      <c r="A7">
        <v>5</v>
      </c>
      <c r="B7" t="s">
        <v>26</v>
      </c>
      <c r="C7" t="s">
        <v>17</v>
      </c>
      <c r="D7">
        <v>15</v>
      </c>
      <c r="E7">
        <v>7</v>
      </c>
      <c r="F7">
        <v>0.46666666666666601</v>
      </c>
      <c r="G7" t="b">
        <v>1</v>
      </c>
      <c r="H7" t="b">
        <v>1</v>
      </c>
      <c r="I7" t="b">
        <v>0</v>
      </c>
      <c r="J7" t="b">
        <v>1</v>
      </c>
      <c r="K7">
        <v>0</v>
      </c>
      <c r="L7">
        <v>0</v>
      </c>
      <c r="M7">
        <v>0</v>
      </c>
      <c r="N7">
        <v>0</v>
      </c>
      <c r="O7">
        <v>0</v>
      </c>
      <c r="P7">
        <v>1142</v>
      </c>
      <c r="Q7">
        <v>0</v>
      </c>
    </row>
    <row r="8" spans="1:17" x14ac:dyDescent="0.3">
      <c r="A8">
        <v>6</v>
      </c>
      <c r="B8" t="s">
        <v>22</v>
      </c>
      <c r="C8" t="s">
        <v>17</v>
      </c>
      <c r="D8">
        <v>19</v>
      </c>
      <c r="E8">
        <v>2</v>
      </c>
      <c r="F8">
        <v>0.105263157894736</v>
      </c>
      <c r="G8" t="b">
        <v>1</v>
      </c>
      <c r="H8" t="b">
        <v>1</v>
      </c>
      <c r="I8" t="b">
        <v>1</v>
      </c>
      <c r="J8" t="b">
        <v>1</v>
      </c>
      <c r="K8">
        <v>0</v>
      </c>
      <c r="L8">
        <v>0</v>
      </c>
      <c r="M8">
        <v>0</v>
      </c>
      <c r="N8">
        <v>0</v>
      </c>
      <c r="O8">
        <v>0</v>
      </c>
      <c r="P8">
        <v>10000</v>
      </c>
      <c r="Q8">
        <v>0</v>
      </c>
    </row>
    <row r="9" spans="1:17" x14ac:dyDescent="0.3">
      <c r="A9">
        <v>7</v>
      </c>
      <c r="B9" t="s">
        <v>25</v>
      </c>
      <c r="C9" t="s">
        <v>17</v>
      </c>
      <c r="D9">
        <v>14</v>
      </c>
      <c r="E9">
        <v>9</v>
      </c>
      <c r="F9">
        <v>0.64285714285714202</v>
      </c>
      <c r="G9" t="b">
        <v>1</v>
      </c>
      <c r="H9" t="b">
        <v>1</v>
      </c>
      <c r="I9" t="b">
        <v>1</v>
      </c>
      <c r="J9" t="b">
        <v>1</v>
      </c>
      <c r="K9">
        <v>0</v>
      </c>
      <c r="L9">
        <v>0</v>
      </c>
      <c r="M9">
        <v>0</v>
      </c>
      <c r="N9">
        <v>0</v>
      </c>
      <c r="O9">
        <v>0</v>
      </c>
      <c r="P9">
        <v>2445</v>
      </c>
      <c r="Q9">
        <v>0</v>
      </c>
    </row>
    <row r="10" spans="1:17" x14ac:dyDescent="0.3">
      <c r="A10">
        <v>8</v>
      </c>
      <c r="B10" t="s">
        <v>19</v>
      </c>
      <c r="C10" t="s">
        <v>17</v>
      </c>
      <c r="D10">
        <v>24</v>
      </c>
      <c r="E10">
        <v>0</v>
      </c>
      <c r="F10">
        <v>0</v>
      </c>
      <c r="G10" t="b">
        <v>0</v>
      </c>
      <c r="H10" t="b">
        <v>1</v>
      </c>
      <c r="I10" t="b">
        <v>1</v>
      </c>
      <c r="J10" t="b">
        <v>1</v>
      </c>
      <c r="K10">
        <v>0</v>
      </c>
      <c r="L10">
        <v>0</v>
      </c>
      <c r="M10">
        <v>0</v>
      </c>
      <c r="N10">
        <v>0</v>
      </c>
      <c r="O10">
        <v>0</v>
      </c>
      <c r="P10">
        <v>10001</v>
      </c>
      <c r="Q10">
        <v>0</v>
      </c>
    </row>
    <row r="11" spans="1:17" x14ac:dyDescent="0.3">
      <c r="A11">
        <v>9</v>
      </c>
      <c r="B11" t="s">
        <v>21</v>
      </c>
      <c r="C11" t="s">
        <v>17</v>
      </c>
      <c r="D11">
        <v>21</v>
      </c>
      <c r="E11">
        <v>7</v>
      </c>
      <c r="F11">
        <v>0.33333333333333298</v>
      </c>
      <c r="G11" t="b">
        <v>1</v>
      </c>
      <c r="H11" t="b">
        <v>1</v>
      </c>
      <c r="I11" t="b">
        <v>0</v>
      </c>
      <c r="J11" t="b">
        <v>1</v>
      </c>
      <c r="K11">
        <v>0</v>
      </c>
      <c r="L11">
        <v>0</v>
      </c>
      <c r="M11">
        <v>0</v>
      </c>
      <c r="N11">
        <v>0</v>
      </c>
      <c r="O11">
        <v>0</v>
      </c>
      <c r="P11">
        <v>1143</v>
      </c>
      <c r="Q11">
        <v>0</v>
      </c>
    </row>
    <row r="12" spans="1:17" x14ac:dyDescent="0.3">
      <c r="A12">
        <v>10</v>
      </c>
      <c r="B12" t="s">
        <v>34</v>
      </c>
      <c r="C12" t="s">
        <v>28</v>
      </c>
      <c r="D12">
        <v>16</v>
      </c>
      <c r="E12">
        <v>3</v>
      </c>
      <c r="F12">
        <v>0.1875</v>
      </c>
      <c r="G12" t="b">
        <v>1</v>
      </c>
      <c r="H12" t="b">
        <v>1</v>
      </c>
      <c r="I12" t="b">
        <v>1</v>
      </c>
      <c r="J12" t="b">
        <v>1</v>
      </c>
      <c r="K12">
        <v>0</v>
      </c>
      <c r="L12">
        <v>0</v>
      </c>
      <c r="M12">
        <v>0</v>
      </c>
      <c r="N12">
        <v>0</v>
      </c>
      <c r="O12">
        <v>0</v>
      </c>
      <c r="P12">
        <v>8883</v>
      </c>
      <c r="Q12">
        <v>0</v>
      </c>
    </row>
    <row r="13" spans="1:17" x14ac:dyDescent="0.3">
      <c r="A13">
        <v>11</v>
      </c>
      <c r="B13" t="s">
        <v>30</v>
      </c>
      <c r="C13" t="s">
        <v>28</v>
      </c>
      <c r="D13">
        <v>12</v>
      </c>
      <c r="E13">
        <v>5</v>
      </c>
      <c r="F13">
        <v>0.41666666666666602</v>
      </c>
      <c r="G13" t="b">
        <v>1</v>
      </c>
      <c r="H13" t="b">
        <v>1</v>
      </c>
      <c r="I13" t="b">
        <v>1</v>
      </c>
      <c r="J13" t="b">
        <v>1</v>
      </c>
      <c r="K13">
        <v>2</v>
      </c>
      <c r="L13">
        <v>1</v>
      </c>
      <c r="M13">
        <v>0</v>
      </c>
      <c r="N13">
        <v>0</v>
      </c>
      <c r="O13">
        <v>1</v>
      </c>
      <c r="P13">
        <v>2799</v>
      </c>
      <c r="Q13">
        <v>858</v>
      </c>
    </row>
    <row r="14" spans="1:17" x14ac:dyDescent="0.3">
      <c r="A14">
        <v>12</v>
      </c>
      <c r="B14" t="s">
        <v>27</v>
      </c>
      <c r="C14" t="s">
        <v>28</v>
      </c>
      <c r="D14">
        <v>14</v>
      </c>
      <c r="E14">
        <v>10</v>
      </c>
      <c r="F14">
        <v>0.71428571428571397</v>
      </c>
      <c r="G14" t="b">
        <v>1</v>
      </c>
      <c r="H14" t="b">
        <v>1</v>
      </c>
      <c r="I14" t="b">
        <v>1</v>
      </c>
      <c r="J14" t="b">
        <v>1</v>
      </c>
      <c r="K14">
        <v>4</v>
      </c>
      <c r="L14">
        <v>1</v>
      </c>
      <c r="M14">
        <v>1</v>
      </c>
      <c r="N14">
        <v>0</v>
      </c>
      <c r="O14">
        <v>2</v>
      </c>
      <c r="P14">
        <v>9913</v>
      </c>
      <c r="Q14">
        <v>3667</v>
      </c>
    </row>
    <row r="15" spans="1:17" x14ac:dyDescent="0.3">
      <c r="A15">
        <v>13</v>
      </c>
      <c r="B15" t="s">
        <v>37</v>
      </c>
      <c r="C15" t="s">
        <v>28</v>
      </c>
      <c r="D15">
        <v>14</v>
      </c>
      <c r="E15">
        <v>5</v>
      </c>
      <c r="F15">
        <v>0.35714285714285698</v>
      </c>
      <c r="G15" t="b">
        <v>1</v>
      </c>
      <c r="H15" t="b">
        <v>1</v>
      </c>
      <c r="I15" t="b">
        <v>1</v>
      </c>
      <c r="J15" t="b">
        <v>1</v>
      </c>
      <c r="K15">
        <v>0</v>
      </c>
      <c r="L15">
        <v>0</v>
      </c>
      <c r="M15">
        <v>0</v>
      </c>
      <c r="N15">
        <v>0</v>
      </c>
      <c r="O15">
        <v>0</v>
      </c>
      <c r="P15">
        <v>7457</v>
      </c>
      <c r="Q15">
        <v>0</v>
      </c>
    </row>
    <row r="16" spans="1:17" x14ac:dyDescent="0.3">
      <c r="A16">
        <v>14</v>
      </c>
      <c r="B16" t="s">
        <v>29</v>
      </c>
      <c r="C16" t="s">
        <v>28</v>
      </c>
      <c r="D16">
        <v>13</v>
      </c>
      <c r="E16">
        <v>5</v>
      </c>
      <c r="F16">
        <v>0.38461538461538403</v>
      </c>
      <c r="G16" t="b">
        <v>1</v>
      </c>
      <c r="H16" t="b">
        <v>1</v>
      </c>
      <c r="I16" t="b">
        <v>0</v>
      </c>
      <c r="J16" t="b">
        <v>1</v>
      </c>
      <c r="K16">
        <v>0</v>
      </c>
      <c r="L16">
        <v>0</v>
      </c>
      <c r="M16">
        <v>0</v>
      </c>
      <c r="N16">
        <v>0</v>
      </c>
      <c r="O16">
        <v>0</v>
      </c>
      <c r="P16">
        <v>6896</v>
      </c>
      <c r="Q16">
        <v>0</v>
      </c>
    </row>
    <row r="17" spans="1:17" x14ac:dyDescent="0.3">
      <c r="A17">
        <v>15</v>
      </c>
      <c r="B17" t="s">
        <v>35</v>
      </c>
      <c r="C17" t="s">
        <v>28</v>
      </c>
      <c r="D17">
        <v>22</v>
      </c>
      <c r="E17">
        <v>10</v>
      </c>
      <c r="F17">
        <v>0.45454545454545398</v>
      </c>
      <c r="G17" t="b">
        <v>1</v>
      </c>
      <c r="H17" t="b">
        <v>1</v>
      </c>
      <c r="I17" t="b">
        <v>1</v>
      </c>
      <c r="J17" t="b">
        <v>1</v>
      </c>
      <c r="K17">
        <v>1</v>
      </c>
      <c r="L17">
        <v>1</v>
      </c>
      <c r="M17">
        <v>0</v>
      </c>
      <c r="N17">
        <v>0</v>
      </c>
      <c r="O17">
        <v>0</v>
      </c>
      <c r="P17">
        <v>10222</v>
      </c>
      <c r="Q17">
        <v>2043</v>
      </c>
    </row>
    <row r="18" spans="1:17" x14ac:dyDescent="0.3">
      <c r="A18">
        <v>16</v>
      </c>
      <c r="B18" t="s">
        <v>32</v>
      </c>
      <c r="C18" t="s">
        <v>28</v>
      </c>
      <c r="D18">
        <v>23</v>
      </c>
      <c r="E18">
        <v>0</v>
      </c>
      <c r="F18">
        <v>0</v>
      </c>
      <c r="G18" t="b">
        <v>1</v>
      </c>
      <c r="H18" t="b">
        <v>0</v>
      </c>
      <c r="I18" t="b">
        <v>1</v>
      </c>
      <c r="J18" t="b">
        <v>1</v>
      </c>
      <c r="K18">
        <v>1</v>
      </c>
      <c r="L18">
        <v>1</v>
      </c>
      <c r="M18">
        <v>0</v>
      </c>
      <c r="N18">
        <v>0</v>
      </c>
      <c r="O18">
        <v>0</v>
      </c>
      <c r="P18">
        <v>11678</v>
      </c>
      <c r="Q18">
        <v>2878</v>
      </c>
    </row>
    <row r="19" spans="1:17" x14ac:dyDescent="0.3">
      <c r="A19">
        <v>17</v>
      </c>
      <c r="B19" t="s">
        <v>33</v>
      </c>
      <c r="C19" t="s">
        <v>28</v>
      </c>
      <c r="D19">
        <v>30</v>
      </c>
      <c r="E19">
        <v>5</v>
      </c>
      <c r="F19">
        <v>0.16666666666666599</v>
      </c>
      <c r="G19" t="b">
        <v>1</v>
      </c>
      <c r="H19" t="b">
        <v>1</v>
      </c>
      <c r="I19" t="b">
        <v>1</v>
      </c>
      <c r="J19" t="b">
        <v>1</v>
      </c>
      <c r="K19">
        <v>1</v>
      </c>
      <c r="L19">
        <v>1</v>
      </c>
      <c r="M19">
        <v>0</v>
      </c>
      <c r="N19">
        <v>0</v>
      </c>
      <c r="O19">
        <v>0</v>
      </c>
      <c r="P19">
        <v>11067</v>
      </c>
      <c r="Q19">
        <v>3194</v>
      </c>
    </row>
    <row r="20" spans="1:17" x14ac:dyDescent="0.3">
      <c r="A20">
        <v>18</v>
      </c>
      <c r="B20" t="s">
        <v>36</v>
      </c>
      <c r="C20" t="s">
        <v>28</v>
      </c>
      <c r="D20">
        <v>20</v>
      </c>
      <c r="E20">
        <v>7</v>
      </c>
      <c r="F20">
        <v>0.35</v>
      </c>
      <c r="G20" t="b">
        <v>1</v>
      </c>
      <c r="H20" t="b">
        <v>1</v>
      </c>
      <c r="I20" t="b">
        <v>1</v>
      </c>
      <c r="J20" t="b">
        <v>1</v>
      </c>
      <c r="K20">
        <v>3</v>
      </c>
      <c r="L20">
        <v>1</v>
      </c>
      <c r="M20">
        <v>1</v>
      </c>
      <c r="N20">
        <v>0</v>
      </c>
      <c r="O20">
        <v>1</v>
      </c>
      <c r="P20">
        <v>4566</v>
      </c>
      <c r="Q20">
        <v>8007</v>
      </c>
    </row>
    <row r="21" spans="1:17" x14ac:dyDescent="0.3">
      <c r="A21">
        <v>19</v>
      </c>
      <c r="B21" t="s">
        <v>31</v>
      </c>
      <c r="C21" t="s">
        <v>28</v>
      </c>
      <c r="D21">
        <v>21</v>
      </c>
      <c r="E21">
        <v>2</v>
      </c>
      <c r="F21">
        <v>9.5238095238095205E-2</v>
      </c>
      <c r="G21" t="b">
        <v>1</v>
      </c>
      <c r="H21" t="b">
        <v>1</v>
      </c>
      <c r="I21" t="b">
        <v>0</v>
      </c>
      <c r="J21" t="b">
        <v>1</v>
      </c>
      <c r="K21">
        <v>3</v>
      </c>
      <c r="L21">
        <v>1</v>
      </c>
      <c r="M21">
        <v>1</v>
      </c>
      <c r="N21">
        <v>0</v>
      </c>
      <c r="O21">
        <v>1</v>
      </c>
      <c r="P21">
        <v>8517</v>
      </c>
      <c r="Q21">
        <v>6062</v>
      </c>
    </row>
    <row r="22" spans="1:17" x14ac:dyDescent="0.3">
      <c r="A22">
        <v>20</v>
      </c>
      <c r="B22">
        <v>168</v>
      </c>
      <c r="C22" t="s">
        <v>38</v>
      </c>
      <c r="D22">
        <v>5</v>
      </c>
      <c r="E22">
        <v>2</v>
      </c>
      <c r="F22">
        <v>0.4</v>
      </c>
      <c r="G22" t="b">
        <v>1</v>
      </c>
      <c r="H22" t="b">
        <v>1</v>
      </c>
      <c r="I22" t="b">
        <v>1</v>
      </c>
      <c r="J22" t="b">
        <v>1</v>
      </c>
      <c r="K22">
        <v>3</v>
      </c>
      <c r="L22">
        <v>1</v>
      </c>
      <c r="M22">
        <v>0</v>
      </c>
      <c r="N22">
        <v>0</v>
      </c>
      <c r="O22">
        <v>2</v>
      </c>
      <c r="P22">
        <v>3370</v>
      </c>
      <c r="Q22">
        <v>351</v>
      </c>
    </row>
    <row r="23" spans="1:17" x14ac:dyDescent="0.3">
      <c r="A23">
        <v>21</v>
      </c>
      <c r="B23">
        <v>1231</v>
      </c>
      <c r="C23" t="s">
        <v>38</v>
      </c>
      <c r="D23">
        <v>4</v>
      </c>
      <c r="E23">
        <v>4</v>
      </c>
      <c r="F23">
        <v>1</v>
      </c>
      <c r="G23" t="b">
        <v>1</v>
      </c>
      <c r="H23" t="b">
        <v>1</v>
      </c>
      <c r="I23" t="b">
        <v>1</v>
      </c>
      <c r="J23" t="b">
        <v>1</v>
      </c>
      <c r="K23">
        <v>3</v>
      </c>
      <c r="L23">
        <v>1</v>
      </c>
      <c r="M23">
        <v>1</v>
      </c>
      <c r="N23">
        <v>0</v>
      </c>
      <c r="O23">
        <v>1</v>
      </c>
      <c r="P23">
        <v>1725</v>
      </c>
      <c r="Q23">
        <v>1454</v>
      </c>
    </row>
    <row r="24" spans="1:17" x14ac:dyDescent="0.3">
      <c r="A24">
        <v>22</v>
      </c>
      <c r="B24">
        <v>1907</v>
      </c>
      <c r="C24" t="s">
        <v>38</v>
      </c>
      <c r="D24">
        <v>5</v>
      </c>
      <c r="E24">
        <v>4</v>
      </c>
      <c r="F24">
        <v>0.8</v>
      </c>
      <c r="G24" t="b">
        <v>1</v>
      </c>
      <c r="H24" t="b">
        <v>1</v>
      </c>
      <c r="I24" t="b">
        <v>1</v>
      </c>
      <c r="J24" t="b">
        <v>1</v>
      </c>
      <c r="K24">
        <v>0</v>
      </c>
      <c r="L24">
        <v>0</v>
      </c>
      <c r="M24">
        <v>0</v>
      </c>
      <c r="N24">
        <v>0</v>
      </c>
      <c r="O24">
        <v>0</v>
      </c>
      <c r="P24">
        <v>567</v>
      </c>
      <c r="Q24">
        <v>0</v>
      </c>
    </row>
    <row r="25" spans="1:17" x14ac:dyDescent="0.3">
      <c r="A25">
        <v>23</v>
      </c>
      <c r="B25">
        <v>1265</v>
      </c>
      <c r="C25" t="s">
        <v>38</v>
      </c>
      <c r="D25">
        <v>3</v>
      </c>
      <c r="E25">
        <v>3</v>
      </c>
      <c r="F25">
        <v>1</v>
      </c>
      <c r="G25" t="b">
        <v>1</v>
      </c>
      <c r="H25" t="b">
        <v>1</v>
      </c>
      <c r="I25" t="b">
        <v>1</v>
      </c>
      <c r="J25" t="b">
        <v>1</v>
      </c>
      <c r="K25">
        <v>3</v>
      </c>
      <c r="L25">
        <v>1</v>
      </c>
      <c r="M25">
        <v>0</v>
      </c>
      <c r="N25">
        <v>1</v>
      </c>
      <c r="O25">
        <v>1</v>
      </c>
      <c r="P25">
        <v>1571</v>
      </c>
      <c r="Q25">
        <v>1105</v>
      </c>
    </row>
    <row r="26" spans="1:17" x14ac:dyDescent="0.3">
      <c r="A26">
        <v>24</v>
      </c>
      <c r="B26">
        <v>1565</v>
      </c>
      <c r="C26" t="s">
        <v>38</v>
      </c>
      <c r="D26">
        <v>5</v>
      </c>
      <c r="E26">
        <v>5</v>
      </c>
      <c r="F26">
        <v>1</v>
      </c>
      <c r="G26" t="b">
        <v>1</v>
      </c>
      <c r="H26" t="b">
        <v>1</v>
      </c>
      <c r="I26" t="b">
        <v>1</v>
      </c>
      <c r="J26" t="b">
        <v>1</v>
      </c>
      <c r="K26">
        <v>2</v>
      </c>
      <c r="L26">
        <v>1</v>
      </c>
      <c r="M26">
        <v>0</v>
      </c>
      <c r="N26">
        <v>0</v>
      </c>
      <c r="O26">
        <v>1</v>
      </c>
      <c r="P26">
        <v>1525</v>
      </c>
      <c r="Q26">
        <v>338</v>
      </c>
    </row>
    <row r="27" spans="1:17" x14ac:dyDescent="0.3">
      <c r="A27">
        <v>25</v>
      </c>
      <c r="B27">
        <v>1635</v>
      </c>
      <c r="C27" t="s">
        <v>38</v>
      </c>
      <c r="D27">
        <v>6</v>
      </c>
      <c r="E27">
        <v>2</v>
      </c>
      <c r="F27">
        <v>0.33333333333333298</v>
      </c>
      <c r="G27" t="b">
        <v>1</v>
      </c>
      <c r="H27" t="b">
        <v>1</v>
      </c>
      <c r="I27" t="b">
        <v>1</v>
      </c>
      <c r="J27" t="b">
        <v>1</v>
      </c>
      <c r="K27">
        <v>3</v>
      </c>
      <c r="L27">
        <v>2</v>
      </c>
      <c r="M27">
        <v>1</v>
      </c>
      <c r="N27">
        <v>0</v>
      </c>
      <c r="O27">
        <v>0</v>
      </c>
      <c r="P27">
        <v>5559</v>
      </c>
      <c r="Q27">
        <v>1190</v>
      </c>
    </row>
    <row r="28" spans="1:17" x14ac:dyDescent="0.3">
      <c r="A28">
        <v>26</v>
      </c>
      <c r="B28">
        <v>943</v>
      </c>
      <c r="C28" t="s">
        <v>38</v>
      </c>
      <c r="D28">
        <v>3</v>
      </c>
      <c r="E28">
        <v>1</v>
      </c>
      <c r="F28">
        <v>0.33333333333333298</v>
      </c>
      <c r="G28" t="b">
        <v>1</v>
      </c>
      <c r="H28" t="b">
        <v>1</v>
      </c>
      <c r="I28" t="b">
        <v>1</v>
      </c>
      <c r="J28" t="b">
        <v>1</v>
      </c>
      <c r="K28">
        <v>1</v>
      </c>
      <c r="L28">
        <v>1</v>
      </c>
      <c r="M28">
        <v>0</v>
      </c>
      <c r="N28">
        <v>0</v>
      </c>
      <c r="O28">
        <v>0</v>
      </c>
      <c r="P28">
        <v>1298</v>
      </c>
      <c r="Q28">
        <v>126</v>
      </c>
    </row>
    <row r="29" spans="1:17" x14ac:dyDescent="0.3">
      <c r="A29">
        <v>27</v>
      </c>
      <c r="B29">
        <v>1393</v>
      </c>
      <c r="C29" t="s">
        <v>38</v>
      </c>
      <c r="D29">
        <v>5</v>
      </c>
      <c r="E29">
        <v>1</v>
      </c>
      <c r="F29">
        <v>0.2</v>
      </c>
      <c r="G29" t="b">
        <v>1</v>
      </c>
      <c r="H29" t="b">
        <v>1</v>
      </c>
      <c r="I29" t="b">
        <v>1</v>
      </c>
      <c r="J29" t="b">
        <v>1</v>
      </c>
      <c r="K29">
        <v>2</v>
      </c>
      <c r="L29">
        <v>1</v>
      </c>
      <c r="M29">
        <v>0</v>
      </c>
      <c r="N29">
        <v>0</v>
      </c>
      <c r="O29">
        <v>1</v>
      </c>
      <c r="P29">
        <v>2083</v>
      </c>
      <c r="Q29">
        <v>336</v>
      </c>
    </row>
    <row r="30" spans="1:17" x14ac:dyDescent="0.3">
      <c r="A30">
        <v>28</v>
      </c>
      <c r="B30">
        <v>49</v>
      </c>
      <c r="C30" t="s">
        <v>38</v>
      </c>
      <c r="D30">
        <v>4</v>
      </c>
      <c r="E30">
        <v>3</v>
      </c>
      <c r="F30">
        <v>0.75</v>
      </c>
      <c r="G30" t="b">
        <v>1</v>
      </c>
      <c r="H30" t="b">
        <v>0</v>
      </c>
      <c r="I30" t="b">
        <v>1</v>
      </c>
      <c r="J30" t="b">
        <v>1</v>
      </c>
      <c r="K30">
        <v>1</v>
      </c>
      <c r="L30">
        <v>0</v>
      </c>
      <c r="M30">
        <v>0</v>
      </c>
      <c r="N30">
        <v>0</v>
      </c>
      <c r="O30">
        <v>1</v>
      </c>
      <c r="P30">
        <v>892</v>
      </c>
      <c r="Q30">
        <v>10</v>
      </c>
    </row>
    <row r="31" spans="1:17" x14ac:dyDescent="0.3">
      <c r="A31">
        <v>29</v>
      </c>
      <c r="B31">
        <v>1303</v>
      </c>
      <c r="C31" t="s">
        <v>38</v>
      </c>
      <c r="D31">
        <v>5</v>
      </c>
      <c r="E31">
        <v>5</v>
      </c>
      <c r="F31">
        <v>1</v>
      </c>
      <c r="G31" t="b">
        <v>1</v>
      </c>
      <c r="H31" t="b">
        <v>1</v>
      </c>
      <c r="I31" t="b">
        <v>1</v>
      </c>
      <c r="J31" t="b">
        <v>1</v>
      </c>
      <c r="K31">
        <v>2</v>
      </c>
      <c r="L31">
        <v>1</v>
      </c>
      <c r="M31">
        <v>0</v>
      </c>
      <c r="N31">
        <v>0</v>
      </c>
      <c r="O31">
        <v>1</v>
      </c>
      <c r="P31">
        <v>1772</v>
      </c>
      <c r="Q31">
        <v>290</v>
      </c>
    </row>
    <row r="32" spans="1:17" x14ac:dyDescent="0.3">
      <c r="A32">
        <v>30</v>
      </c>
      <c r="B32">
        <v>418</v>
      </c>
      <c r="C32" t="s">
        <v>39</v>
      </c>
      <c r="D32">
        <v>6</v>
      </c>
      <c r="E32">
        <v>4</v>
      </c>
      <c r="F32">
        <v>0.66666666666666596</v>
      </c>
      <c r="G32" t="b">
        <v>1</v>
      </c>
      <c r="H32" t="b">
        <v>1</v>
      </c>
      <c r="I32" t="b">
        <v>1</v>
      </c>
      <c r="J32" t="b">
        <v>1</v>
      </c>
      <c r="K32">
        <v>1</v>
      </c>
      <c r="L32">
        <v>1</v>
      </c>
      <c r="M32">
        <v>0</v>
      </c>
      <c r="N32">
        <v>0</v>
      </c>
      <c r="O32">
        <v>0</v>
      </c>
      <c r="P32">
        <v>1730</v>
      </c>
      <c r="Q32">
        <v>447</v>
      </c>
    </row>
    <row r="33" spans="1:17" x14ac:dyDescent="0.3">
      <c r="A33">
        <v>31</v>
      </c>
      <c r="B33">
        <v>400</v>
      </c>
      <c r="C33" t="s">
        <v>39</v>
      </c>
      <c r="D33">
        <v>6</v>
      </c>
      <c r="E33">
        <v>4</v>
      </c>
      <c r="F33">
        <v>0.66666666666666596</v>
      </c>
      <c r="G33" t="b">
        <v>1</v>
      </c>
      <c r="H33" t="b">
        <v>1</v>
      </c>
      <c r="I33" t="b">
        <v>1</v>
      </c>
      <c r="J33" t="b">
        <v>1</v>
      </c>
      <c r="K33">
        <v>2</v>
      </c>
      <c r="L33">
        <v>1</v>
      </c>
      <c r="M33">
        <v>1</v>
      </c>
      <c r="N33">
        <v>0</v>
      </c>
      <c r="O33">
        <v>0</v>
      </c>
      <c r="P33">
        <v>3804</v>
      </c>
      <c r="Q33">
        <v>2319</v>
      </c>
    </row>
    <row r="34" spans="1:17" x14ac:dyDescent="0.3">
      <c r="A34">
        <v>32</v>
      </c>
      <c r="B34">
        <v>434</v>
      </c>
      <c r="C34" t="s">
        <v>39</v>
      </c>
      <c r="D34">
        <v>5</v>
      </c>
      <c r="E34">
        <v>2</v>
      </c>
      <c r="F34">
        <v>0.4</v>
      </c>
      <c r="G34" t="b">
        <v>1</v>
      </c>
      <c r="H34" t="b">
        <v>1</v>
      </c>
      <c r="I34" t="b">
        <v>1</v>
      </c>
      <c r="J34" t="b">
        <v>1</v>
      </c>
      <c r="K34">
        <v>2</v>
      </c>
      <c r="L34">
        <v>1</v>
      </c>
      <c r="M34">
        <v>0</v>
      </c>
      <c r="N34">
        <v>0</v>
      </c>
      <c r="O34">
        <v>1</v>
      </c>
      <c r="P34">
        <v>1895</v>
      </c>
      <c r="Q34">
        <v>269</v>
      </c>
    </row>
    <row r="35" spans="1:17" x14ac:dyDescent="0.3">
      <c r="A35">
        <v>33</v>
      </c>
      <c r="B35">
        <v>432</v>
      </c>
      <c r="C35" t="s">
        <v>39</v>
      </c>
      <c r="D35">
        <v>6</v>
      </c>
      <c r="E35">
        <v>2</v>
      </c>
      <c r="F35">
        <v>0.33333333333333298</v>
      </c>
      <c r="G35" t="b">
        <v>1</v>
      </c>
      <c r="H35" t="b">
        <v>1</v>
      </c>
      <c r="I35" t="b">
        <v>1</v>
      </c>
      <c r="J35" t="b">
        <v>1</v>
      </c>
      <c r="K35">
        <v>3</v>
      </c>
      <c r="L35">
        <v>1</v>
      </c>
      <c r="M35">
        <v>0</v>
      </c>
      <c r="N35">
        <v>1</v>
      </c>
      <c r="O35">
        <v>1</v>
      </c>
      <c r="P35">
        <v>4241</v>
      </c>
      <c r="Q35">
        <v>2537</v>
      </c>
    </row>
    <row r="36" spans="1:17" x14ac:dyDescent="0.3">
      <c r="A36">
        <v>34</v>
      </c>
      <c r="B36">
        <v>397</v>
      </c>
      <c r="C36" t="s">
        <v>39</v>
      </c>
      <c r="D36">
        <v>6</v>
      </c>
      <c r="E36">
        <v>1</v>
      </c>
      <c r="F36">
        <v>0.16666666666666599</v>
      </c>
      <c r="G36" t="b">
        <v>1</v>
      </c>
      <c r="H36" t="b">
        <v>1</v>
      </c>
      <c r="I36" t="b">
        <v>1</v>
      </c>
      <c r="J36" t="b">
        <v>1</v>
      </c>
      <c r="K36">
        <v>2</v>
      </c>
      <c r="L36">
        <v>1</v>
      </c>
      <c r="M36">
        <v>0</v>
      </c>
      <c r="N36">
        <v>0</v>
      </c>
      <c r="O36">
        <v>1</v>
      </c>
      <c r="P36">
        <v>2587</v>
      </c>
      <c r="Q36">
        <v>421</v>
      </c>
    </row>
    <row r="37" spans="1:17" x14ac:dyDescent="0.3">
      <c r="A37">
        <v>35</v>
      </c>
      <c r="B37">
        <v>411</v>
      </c>
      <c r="C37" t="s">
        <v>39</v>
      </c>
      <c r="D37">
        <v>9</v>
      </c>
      <c r="E37">
        <v>7</v>
      </c>
      <c r="F37">
        <v>0.77777777777777701</v>
      </c>
      <c r="G37" t="b">
        <v>1</v>
      </c>
      <c r="H37" t="b">
        <v>1</v>
      </c>
      <c r="I37" t="b">
        <v>1</v>
      </c>
      <c r="J37" t="b">
        <v>1</v>
      </c>
      <c r="K37">
        <v>0</v>
      </c>
      <c r="L37">
        <v>0</v>
      </c>
      <c r="M37">
        <v>0</v>
      </c>
      <c r="N37">
        <v>0</v>
      </c>
      <c r="O37">
        <v>0</v>
      </c>
      <c r="P37">
        <v>5658</v>
      </c>
      <c r="Q37">
        <v>0</v>
      </c>
    </row>
    <row r="38" spans="1:17" x14ac:dyDescent="0.3">
      <c r="A38">
        <v>36</v>
      </c>
      <c r="B38">
        <v>399</v>
      </c>
      <c r="C38" t="s">
        <v>39</v>
      </c>
      <c r="D38">
        <v>8</v>
      </c>
      <c r="E38">
        <v>5</v>
      </c>
      <c r="F38">
        <v>0.625</v>
      </c>
      <c r="G38" t="b">
        <v>1</v>
      </c>
      <c r="H38" t="b">
        <v>1</v>
      </c>
      <c r="I38" t="b">
        <v>1</v>
      </c>
      <c r="J38" t="b">
        <v>1</v>
      </c>
      <c r="K38">
        <v>2</v>
      </c>
      <c r="L38">
        <v>1</v>
      </c>
      <c r="M38">
        <v>0</v>
      </c>
      <c r="N38">
        <v>0</v>
      </c>
      <c r="O38">
        <v>1</v>
      </c>
      <c r="P38">
        <v>2015</v>
      </c>
      <c r="Q38">
        <v>726</v>
      </c>
    </row>
    <row r="39" spans="1:17" x14ac:dyDescent="0.3">
      <c r="A39">
        <v>37</v>
      </c>
      <c r="B39">
        <v>429</v>
      </c>
      <c r="C39" t="s">
        <v>39</v>
      </c>
      <c r="D39">
        <v>5</v>
      </c>
      <c r="E39">
        <v>5</v>
      </c>
      <c r="F39">
        <v>1</v>
      </c>
      <c r="G39" t="b">
        <v>1</v>
      </c>
      <c r="H39" t="b">
        <v>1</v>
      </c>
      <c r="I39" t="b">
        <v>1</v>
      </c>
      <c r="J39" t="b">
        <v>1</v>
      </c>
      <c r="K39">
        <v>2</v>
      </c>
      <c r="L39">
        <v>1</v>
      </c>
      <c r="M39">
        <v>0</v>
      </c>
      <c r="N39">
        <v>0</v>
      </c>
      <c r="O39">
        <v>1</v>
      </c>
      <c r="P39">
        <v>1966</v>
      </c>
      <c r="Q39">
        <v>266</v>
      </c>
    </row>
    <row r="40" spans="1:17" x14ac:dyDescent="0.3">
      <c r="A40">
        <v>38</v>
      </c>
      <c r="B40">
        <v>414</v>
      </c>
      <c r="C40" t="s">
        <v>39</v>
      </c>
      <c r="D40">
        <v>10</v>
      </c>
      <c r="E40">
        <v>6</v>
      </c>
      <c r="F40">
        <v>0.6</v>
      </c>
      <c r="G40" t="b">
        <v>1</v>
      </c>
      <c r="H40" t="b">
        <v>1</v>
      </c>
      <c r="I40" t="b">
        <v>1</v>
      </c>
      <c r="J40" t="b">
        <v>1</v>
      </c>
      <c r="K40">
        <v>3</v>
      </c>
      <c r="L40">
        <v>1</v>
      </c>
      <c r="M40">
        <v>0</v>
      </c>
      <c r="N40">
        <v>1</v>
      </c>
      <c r="O40">
        <v>1</v>
      </c>
      <c r="P40">
        <v>6992</v>
      </c>
      <c r="Q40">
        <v>1421</v>
      </c>
    </row>
    <row r="41" spans="1:17" x14ac:dyDescent="0.3">
      <c r="A41">
        <v>39</v>
      </c>
      <c r="B41">
        <v>433</v>
      </c>
      <c r="C41" t="s">
        <v>39</v>
      </c>
      <c r="D41">
        <v>6</v>
      </c>
      <c r="E41">
        <v>2</v>
      </c>
      <c r="F41">
        <v>0.33333333333333298</v>
      </c>
      <c r="G41" t="b">
        <v>1</v>
      </c>
      <c r="H41" t="b">
        <v>1</v>
      </c>
      <c r="I41" t="b">
        <v>1</v>
      </c>
      <c r="J41" t="b">
        <v>1</v>
      </c>
      <c r="K41">
        <v>5</v>
      </c>
      <c r="L41">
        <v>1</v>
      </c>
      <c r="M41">
        <v>1</v>
      </c>
      <c r="N41">
        <v>0</v>
      </c>
      <c r="O41">
        <v>3</v>
      </c>
      <c r="P41">
        <v>6633</v>
      </c>
      <c r="Q41">
        <v>1946</v>
      </c>
    </row>
    <row r="42" spans="1:17" x14ac:dyDescent="0.3">
      <c r="A42">
        <v>40</v>
      </c>
      <c r="B42" t="s">
        <v>40</v>
      </c>
      <c r="C42" t="s">
        <v>41</v>
      </c>
      <c r="D42">
        <v>20</v>
      </c>
      <c r="E42">
        <v>11</v>
      </c>
      <c r="F42">
        <v>0.55000000000000004</v>
      </c>
      <c r="G42" t="b">
        <v>1</v>
      </c>
      <c r="H42" t="b">
        <v>1</v>
      </c>
      <c r="I42" t="b">
        <v>1</v>
      </c>
      <c r="J42" t="b">
        <v>1</v>
      </c>
      <c r="K42">
        <v>2</v>
      </c>
      <c r="L42">
        <v>1</v>
      </c>
      <c r="M42">
        <v>1</v>
      </c>
      <c r="N42">
        <v>0</v>
      </c>
      <c r="O42">
        <v>0</v>
      </c>
      <c r="P42">
        <v>7424</v>
      </c>
      <c r="Q42">
        <v>2461</v>
      </c>
    </row>
    <row r="43" spans="1:17" x14ac:dyDescent="0.3">
      <c r="A43">
        <v>41</v>
      </c>
      <c r="B43" t="s">
        <v>42</v>
      </c>
      <c r="C43" t="s">
        <v>41</v>
      </c>
      <c r="D43">
        <v>12</v>
      </c>
      <c r="E43">
        <v>8</v>
      </c>
      <c r="F43">
        <v>0.66666666666666596</v>
      </c>
      <c r="G43" t="b">
        <v>1</v>
      </c>
      <c r="H43" t="b">
        <v>1</v>
      </c>
      <c r="I43" t="b">
        <v>1</v>
      </c>
      <c r="J43" t="b">
        <v>1</v>
      </c>
      <c r="K43">
        <v>2</v>
      </c>
      <c r="L43">
        <v>0</v>
      </c>
      <c r="M43">
        <v>0</v>
      </c>
      <c r="N43">
        <v>0</v>
      </c>
      <c r="O43">
        <v>2</v>
      </c>
      <c r="P43">
        <v>3258</v>
      </c>
      <c r="Q43">
        <v>30</v>
      </c>
    </row>
    <row r="44" spans="1:17" x14ac:dyDescent="0.3">
      <c r="A44">
        <v>42</v>
      </c>
      <c r="B44" t="s">
        <v>45</v>
      </c>
      <c r="C44" t="s">
        <v>41</v>
      </c>
      <c r="D44">
        <v>13</v>
      </c>
      <c r="E44">
        <v>12</v>
      </c>
      <c r="F44">
        <v>0.92307692307692302</v>
      </c>
      <c r="G44" t="b">
        <v>1</v>
      </c>
      <c r="H44" t="b">
        <v>1</v>
      </c>
      <c r="I44" t="b">
        <v>1</v>
      </c>
      <c r="J44" t="b">
        <v>1</v>
      </c>
      <c r="K44">
        <v>1</v>
      </c>
      <c r="L44">
        <v>0</v>
      </c>
      <c r="M44">
        <v>1</v>
      </c>
      <c r="N44">
        <v>0</v>
      </c>
      <c r="O44">
        <v>0</v>
      </c>
      <c r="P44">
        <v>10455</v>
      </c>
      <c r="Q44">
        <v>3887</v>
      </c>
    </row>
    <row r="45" spans="1:17" x14ac:dyDescent="0.3">
      <c r="A45">
        <v>43</v>
      </c>
      <c r="B45" t="s">
        <v>46</v>
      </c>
      <c r="C45" t="s">
        <v>41</v>
      </c>
      <c r="D45">
        <v>15</v>
      </c>
      <c r="E45">
        <v>10</v>
      </c>
      <c r="F45">
        <v>0.66666666666666596</v>
      </c>
      <c r="G45" t="b">
        <v>1</v>
      </c>
      <c r="H45" t="b">
        <v>1</v>
      </c>
      <c r="I45" t="b">
        <v>1</v>
      </c>
      <c r="J45" t="b">
        <v>1</v>
      </c>
      <c r="K45">
        <v>0</v>
      </c>
      <c r="L45">
        <v>0</v>
      </c>
      <c r="M45">
        <v>0</v>
      </c>
      <c r="N45">
        <v>0</v>
      </c>
      <c r="O45">
        <v>0</v>
      </c>
      <c r="P45">
        <v>7196</v>
      </c>
      <c r="Q45">
        <v>0</v>
      </c>
    </row>
    <row r="46" spans="1:17" x14ac:dyDescent="0.3">
      <c r="A46">
        <v>44</v>
      </c>
      <c r="B46" t="s">
        <v>48</v>
      </c>
      <c r="C46" t="s">
        <v>41</v>
      </c>
      <c r="D46">
        <v>23</v>
      </c>
      <c r="E46">
        <v>10</v>
      </c>
      <c r="F46">
        <v>0.434782608695652</v>
      </c>
      <c r="G46" t="b">
        <v>1</v>
      </c>
      <c r="H46" t="b">
        <v>1</v>
      </c>
      <c r="I46" t="b">
        <v>1</v>
      </c>
      <c r="J46" t="b">
        <v>1</v>
      </c>
      <c r="K46">
        <v>4</v>
      </c>
      <c r="L46">
        <v>1</v>
      </c>
      <c r="M46">
        <v>0</v>
      </c>
      <c r="N46">
        <v>0</v>
      </c>
      <c r="O46">
        <v>3</v>
      </c>
      <c r="P46">
        <v>8922</v>
      </c>
      <c r="Q46">
        <v>1628</v>
      </c>
    </row>
    <row r="47" spans="1:17" x14ac:dyDescent="0.3">
      <c r="A47">
        <v>45</v>
      </c>
      <c r="B47" t="s">
        <v>44</v>
      </c>
      <c r="C47" t="s">
        <v>41</v>
      </c>
      <c r="D47">
        <v>17</v>
      </c>
      <c r="E47">
        <v>10</v>
      </c>
      <c r="F47">
        <v>0.58823529411764697</v>
      </c>
      <c r="G47" t="b">
        <v>1</v>
      </c>
      <c r="H47" t="b">
        <v>1</v>
      </c>
      <c r="I47" t="b">
        <v>1</v>
      </c>
      <c r="J47" t="b">
        <v>1</v>
      </c>
      <c r="K47">
        <v>9</v>
      </c>
      <c r="L47">
        <v>1</v>
      </c>
      <c r="M47">
        <v>0</v>
      </c>
      <c r="N47">
        <v>0</v>
      </c>
      <c r="O47">
        <v>8</v>
      </c>
      <c r="P47">
        <v>8138</v>
      </c>
      <c r="Q47">
        <v>1336</v>
      </c>
    </row>
    <row r="48" spans="1:17" x14ac:dyDescent="0.3">
      <c r="A48">
        <v>46</v>
      </c>
      <c r="B48" t="s">
        <v>49</v>
      </c>
      <c r="C48" t="s">
        <v>41</v>
      </c>
      <c r="D48">
        <v>23</v>
      </c>
      <c r="E48">
        <v>3</v>
      </c>
      <c r="F48">
        <v>0.13043478260869501</v>
      </c>
      <c r="G48" t="b">
        <v>1</v>
      </c>
      <c r="H48" t="b">
        <v>0</v>
      </c>
      <c r="I48" t="b">
        <v>1</v>
      </c>
      <c r="J48" t="b">
        <v>1</v>
      </c>
      <c r="K48">
        <v>0</v>
      </c>
      <c r="L48">
        <v>0</v>
      </c>
      <c r="M48">
        <v>0</v>
      </c>
      <c r="N48">
        <v>0</v>
      </c>
      <c r="O48">
        <v>0</v>
      </c>
      <c r="P48">
        <v>10003</v>
      </c>
      <c r="Q48">
        <v>0</v>
      </c>
    </row>
    <row r="49" spans="1:17" x14ac:dyDescent="0.3">
      <c r="A49">
        <v>47</v>
      </c>
      <c r="B49" t="s">
        <v>50</v>
      </c>
      <c r="C49" t="s">
        <v>41</v>
      </c>
      <c r="D49">
        <v>14</v>
      </c>
      <c r="E49">
        <v>10</v>
      </c>
      <c r="F49">
        <v>0.71428571428571397</v>
      </c>
      <c r="G49" t="b">
        <v>1</v>
      </c>
      <c r="H49" t="b">
        <v>1</v>
      </c>
      <c r="I49" t="b">
        <v>1</v>
      </c>
      <c r="J49" t="b">
        <v>1</v>
      </c>
      <c r="K49">
        <v>2</v>
      </c>
      <c r="L49">
        <v>0</v>
      </c>
      <c r="M49">
        <v>1</v>
      </c>
      <c r="N49">
        <v>0</v>
      </c>
      <c r="O49">
        <v>1</v>
      </c>
      <c r="P49">
        <v>2766</v>
      </c>
      <c r="Q49">
        <v>3484</v>
      </c>
    </row>
    <row r="50" spans="1:17" x14ac:dyDescent="0.3">
      <c r="A50">
        <v>48</v>
      </c>
      <c r="B50" t="s">
        <v>43</v>
      </c>
      <c r="C50" t="s">
        <v>41</v>
      </c>
      <c r="D50">
        <v>14</v>
      </c>
      <c r="E50">
        <v>9</v>
      </c>
      <c r="F50">
        <v>0.64285714285714202</v>
      </c>
      <c r="G50" t="b">
        <v>1</v>
      </c>
      <c r="H50" t="b">
        <v>1</v>
      </c>
      <c r="I50" t="b">
        <v>1</v>
      </c>
      <c r="J50" t="b">
        <v>1</v>
      </c>
      <c r="K50">
        <v>1</v>
      </c>
      <c r="L50">
        <v>1</v>
      </c>
      <c r="M50">
        <v>0</v>
      </c>
      <c r="N50">
        <v>0</v>
      </c>
      <c r="O50">
        <v>0</v>
      </c>
      <c r="P50">
        <v>6345</v>
      </c>
      <c r="Q50">
        <v>1094</v>
      </c>
    </row>
    <row r="51" spans="1:17" x14ac:dyDescent="0.3">
      <c r="A51">
        <v>49</v>
      </c>
      <c r="B51" t="s">
        <v>47</v>
      </c>
      <c r="C51" t="s">
        <v>41</v>
      </c>
      <c r="D51">
        <v>11</v>
      </c>
      <c r="E51">
        <v>2</v>
      </c>
      <c r="F51">
        <v>0.18181818181818099</v>
      </c>
      <c r="G51" t="b">
        <v>1</v>
      </c>
      <c r="H51" t="b">
        <v>1</v>
      </c>
      <c r="I51" t="b">
        <v>1</v>
      </c>
      <c r="J51" t="b">
        <v>1</v>
      </c>
      <c r="K51">
        <v>2</v>
      </c>
      <c r="L51">
        <v>1</v>
      </c>
      <c r="M51">
        <v>0</v>
      </c>
      <c r="N51">
        <v>0</v>
      </c>
      <c r="O51">
        <v>1</v>
      </c>
      <c r="P51">
        <v>7234</v>
      </c>
      <c r="Q51">
        <v>770</v>
      </c>
    </row>
  </sheetData>
  <autoFilter ref="A1:Q1" xr:uid="{05B90B06-75CD-4388-98EA-98A4F23A0295}"/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67775FA-97D9-4B60-9224-8980BF184D44}">
  <dimension ref="B5:T31"/>
  <sheetViews>
    <sheetView tabSelected="1" topLeftCell="A2" zoomScale="77" workbookViewId="0">
      <selection activeCell="C22" sqref="B16:E22"/>
    </sheetView>
  </sheetViews>
  <sheetFormatPr defaultRowHeight="14.4" x14ac:dyDescent="0.3"/>
  <cols>
    <col min="2" max="2" width="12.44140625" bestFit="1" customWidth="1"/>
    <col min="3" max="3" width="15.5546875" bestFit="1" customWidth="1"/>
    <col min="4" max="5" width="10.6640625" bestFit="1" customWidth="1"/>
    <col min="6" max="6" width="5.21875" bestFit="1" customWidth="1"/>
    <col min="7" max="7" width="12.44140625" bestFit="1" customWidth="1"/>
    <col min="8" max="8" width="9.88671875" customWidth="1"/>
    <col min="9" max="9" width="12.6640625" bestFit="1" customWidth="1"/>
    <col min="10" max="10" width="29.5546875" bestFit="1" customWidth="1"/>
    <col min="11" max="11" width="21.5546875" bestFit="1" customWidth="1"/>
    <col min="12" max="12" width="4" bestFit="1" customWidth="1"/>
    <col min="13" max="13" width="3.44140625" bestFit="1" customWidth="1"/>
    <col min="14" max="14" width="17.33203125" bestFit="1" customWidth="1"/>
    <col min="15" max="15" width="21.5546875" bestFit="1" customWidth="1"/>
    <col min="16" max="16" width="12.44140625" bestFit="1" customWidth="1"/>
    <col min="17" max="17" width="26.44140625" bestFit="1" customWidth="1"/>
    <col min="18" max="18" width="32.6640625" bestFit="1" customWidth="1"/>
    <col min="19" max="19" width="37" bestFit="1" customWidth="1"/>
    <col min="20" max="21" width="32.21875" bestFit="1" customWidth="1"/>
    <col min="22" max="22" width="12" bestFit="1" customWidth="1"/>
    <col min="23" max="23" width="4" bestFit="1" customWidth="1"/>
    <col min="24" max="24" width="5" bestFit="1" customWidth="1"/>
    <col min="25" max="25" width="12" bestFit="1" customWidth="1"/>
    <col min="26" max="26" width="4" bestFit="1" customWidth="1"/>
    <col min="27" max="27" width="6" bestFit="1" customWidth="1"/>
    <col min="28" max="29" width="12" bestFit="1" customWidth="1"/>
    <col min="30" max="30" width="7" bestFit="1" customWidth="1"/>
    <col min="31" max="31" width="12" bestFit="1" customWidth="1"/>
    <col min="32" max="32" width="5" bestFit="1" customWidth="1"/>
    <col min="33" max="33" width="12" bestFit="1" customWidth="1"/>
    <col min="34" max="34" width="4" bestFit="1" customWidth="1"/>
    <col min="35" max="35" width="12" bestFit="1" customWidth="1"/>
    <col min="36" max="36" width="2" bestFit="1" customWidth="1"/>
    <col min="37" max="37" width="10.5546875" bestFit="1" customWidth="1"/>
  </cols>
  <sheetData>
    <row r="5" spans="2:20" x14ac:dyDescent="0.3">
      <c r="B5" s="2" t="s">
        <v>8</v>
      </c>
      <c r="C5" t="s">
        <v>55</v>
      </c>
      <c r="G5" s="2" t="s">
        <v>8</v>
      </c>
      <c r="H5" t="s">
        <v>54</v>
      </c>
      <c r="P5" s="2" t="s">
        <v>8</v>
      </c>
      <c r="Q5" t="s">
        <v>55</v>
      </c>
    </row>
    <row r="7" spans="2:20" x14ac:dyDescent="0.3">
      <c r="B7" s="2" t="s">
        <v>51</v>
      </c>
      <c r="C7" t="s">
        <v>56</v>
      </c>
      <c r="D7" t="s">
        <v>53</v>
      </c>
      <c r="G7" s="2" t="s">
        <v>51</v>
      </c>
      <c r="H7" t="s">
        <v>56</v>
      </c>
      <c r="I7" t="s">
        <v>53</v>
      </c>
      <c r="P7" s="2" t="s">
        <v>51</v>
      </c>
      <c r="Q7" t="s">
        <v>59</v>
      </c>
      <c r="R7" t="s">
        <v>60</v>
      </c>
      <c r="S7" t="s">
        <v>61</v>
      </c>
      <c r="T7" t="s">
        <v>62</v>
      </c>
    </row>
    <row r="8" spans="2:20" x14ac:dyDescent="0.3">
      <c r="B8" s="3" t="s">
        <v>39</v>
      </c>
      <c r="C8" s="5">
        <v>2.2000000000000002</v>
      </c>
      <c r="D8" s="5">
        <v>0.55694444444444413</v>
      </c>
      <c r="G8" s="3" t="s">
        <v>39</v>
      </c>
      <c r="H8" s="5">
        <v>0</v>
      </c>
      <c r="I8" s="5">
        <v>0.55416666666666647</v>
      </c>
      <c r="P8" s="3" t="s">
        <v>39</v>
      </c>
      <c r="Q8" s="5">
        <v>0.9</v>
      </c>
      <c r="R8" s="5">
        <v>0.2</v>
      </c>
      <c r="S8" s="5">
        <v>0.2</v>
      </c>
      <c r="T8" s="5">
        <v>0.9</v>
      </c>
    </row>
    <row r="9" spans="2:20" x14ac:dyDescent="0.3">
      <c r="B9" s="3" t="s">
        <v>17</v>
      </c>
      <c r="C9" s="5">
        <v>0.7</v>
      </c>
      <c r="D9" s="5">
        <v>0.33552784204099956</v>
      </c>
      <c r="G9" s="3" t="s">
        <v>17</v>
      </c>
      <c r="H9" s="5">
        <v>0</v>
      </c>
      <c r="I9" s="5">
        <v>0.18819267720583482</v>
      </c>
      <c r="P9" s="3" t="s">
        <v>17</v>
      </c>
      <c r="Q9" s="5">
        <v>0.1</v>
      </c>
      <c r="R9" s="5">
        <v>0.3</v>
      </c>
      <c r="S9" s="5">
        <v>0</v>
      </c>
      <c r="T9" s="5">
        <v>0.3</v>
      </c>
    </row>
    <row r="10" spans="2:20" x14ac:dyDescent="0.3">
      <c r="B10" s="3" t="s">
        <v>38</v>
      </c>
      <c r="C10" s="5">
        <v>2</v>
      </c>
      <c r="D10" s="5">
        <v>0.68166666666666653</v>
      </c>
      <c r="G10" s="3" t="s">
        <v>38</v>
      </c>
      <c r="H10" s="5">
        <v>0</v>
      </c>
      <c r="I10" s="5">
        <v>0.78333333333333321</v>
      </c>
      <c r="P10" s="3" t="s">
        <v>38</v>
      </c>
      <c r="Q10" s="5">
        <v>0.9</v>
      </c>
      <c r="R10" s="5">
        <v>0.2</v>
      </c>
      <c r="S10" s="5">
        <v>0.1</v>
      </c>
      <c r="T10" s="5">
        <v>0.8</v>
      </c>
    </row>
    <row r="11" spans="2:20" x14ac:dyDescent="0.3">
      <c r="B11" s="3" t="s">
        <v>28</v>
      </c>
      <c r="C11" s="5">
        <v>1.5</v>
      </c>
      <c r="D11" s="5">
        <v>0.31266608391608364</v>
      </c>
      <c r="G11" s="3" t="s">
        <v>28</v>
      </c>
      <c r="H11" s="5">
        <v>0</v>
      </c>
      <c r="I11" s="5">
        <v>0.22816247158638428</v>
      </c>
      <c r="P11" s="3" t="s">
        <v>28</v>
      </c>
      <c r="Q11" s="5">
        <v>0.7</v>
      </c>
      <c r="R11" s="5">
        <v>0.3</v>
      </c>
      <c r="S11" s="5">
        <v>0</v>
      </c>
      <c r="T11" s="5">
        <v>0.5</v>
      </c>
    </row>
    <row r="12" spans="2:20" x14ac:dyDescent="0.3">
      <c r="B12" s="3" t="s">
        <v>41</v>
      </c>
      <c r="C12" s="5">
        <v>2.2999999999999998</v>
      </c>
      <c r="D12" s="5">
        <v>0.54988239807932859</v>
      </c>
      <c r="G12" s="3" t="s">
        <v>41</v>
      </c>
      <c r="H12" s="5">
        <v>0</v>
      </c>
      <c r="I12" s="5">
        <v>0.52350693637138623</v>
      </c>
      <c r="P12" s="3" t="s">
        <v>41</v>
      </c>
      <c r="Q12" s="5">
        <v>0.5</v>
      </c>
      <c r="R12" s="5">
        <v>0.3</v>
      </c>
      <c r="S12" s="5">
        <v>0</v>
      </c>
      <c r="T12" s="5">
        <v>1.5</v>
      </c>
    </row>
    <row r="13" spans="2:20" x14ac:dyDescent="0.3">
      <c r="B13" s="3" t="s">
        <v>52</v>
      </c>
      <c r="C13" s="5">
        <v>1.74</v>
      </c>
      <c r="D13" s="5">
        <v>0.48733748702950441</v>
      </c>
      <c r="G13" s="3" t="s">
        <v>52</v>
      </c>
      <c r="H13" s="5">
        <v>0</v>
      </c>
      <c r="I13" s="5">
        <v>0.45547241703272107</v>
      </c>
      <c r="P13" s="3" t="s">
        <v>52</v>
      </c>
      <c r="Q13" s="5">
        <v>0.62</v>
      </c>
      <c r="R13" s="5">
        <v>0.26</v>
      </c>
      <c r="S13" s="5">
        <v>0.06</v>
      </c>
      <c r="T13" s="5">
        <v>0.8</v>
      </c>
    </row>
    <row r="15" spans="2:20" x14ac:dyDescent="0.3">
      <c r="P15" s="4" t="s">
        <v>51</v>
      </c>
      <c r="Q15" s="4" t="s">
        <v>63</v>
      </c>
      <c r="R15" s="4" t="s">
        <v>64</v>
      </c>
      <c r="S15" s="4" t="s">
        <v>65</v>
      </c>
      <c r="T15" s="4" t="s">
        <v>66</v>
      </c>
    </row>
    <row r="16" spans="2:20" x14ac:dyDescent="0.3">
      <c r="B16" s="4" t="s">
        <v>51</v>
      </c>
      <c r="C16" s="4" t="s">
        <v>57</v>
      </c>
      <c r="D16" s="4" t="s">
        <v>58</v>
      </c>
      <c r="P16" s="3" t="s">
        <v>39</v>
      </c>
      <c r="Q16" s="5">
        <v>0.9</v>
      </c>
      <c r="R16" s="5">
        <v>0.2</v>
      </c>
      <c r="S16" s="5">
        <v>0.2</v>
      </c>
      <c r="T16" s="5">
        <v>0.9</v>
      </c>
    </row>
    <row r="17" spans="2:20" x14ac:dyDescent="0.3">
      <c r="B17" s="3" t="s">
        <v>39</v>
      </c>
      <c r="C17" s="5">
        <v>0.55694444444444413</v>
      </c>
      <c r="D17" s="5">
        <v>0.55416666666666647</v>
      </c>
      <c r="E17">
        <f>C17-D17</f>
        <v>2.7777777777776569E-3</v>
      </c>
      <c r="G17" s="8">
        <f>E17-F17</f>
        <v>2.7777777777776569E-3</v>
      </c>
      <c r="P17" s="3" t="s">
        <v>17</v>
      </c>
      <c r="Q17" s="5">
        <v>0.1</v>
      </c>
      <c r="R17" s="5">
        <v>0.3</v>
      </c>
      <c r="S17" s="5">
        <v>0</v>
      </c>
      <c r="T17" s="5">
        <v>0.3</v>
      </c>
    </row>
    <row r="18" spans="2:20" x14ac:dyDescent="0.3">
      <c r="B18" s="3" t="s">
        <v>17</v>
      </c>
      <c r="C18" s="5">
        <v>0.33552784204099956</v>
      </c>
      <c r="D18" s="5">
        <v>0.18819267720583482</v>
      </c>
      <c r="E18">
        <f t="shared" ref="E18:G22" si="0">C18-D18</f>
        <v>0.14733516483516473</v>
      </c>
      <c r="G18" s="8">
        <f t="shared" si="0"/>
        <v>0.14733516483516473</v>
      </c>
      <c r="P18" s="3" t="s">
        <v>38</v>
      </c>
      <c r="Q18" s="5">
        <v>0.9</v>
      </c>
      <c r="R18" s="5">
        <v>0.2</v>
      </c>
      <c r="S18" s="5">
        <v>0.1</v>
      </c>
      <c r="T18" s="5">
        <v>0.8</v>
      </c>
    </row>
    <row r="19" spans="2:20" x14ac:dyDescent="0.3">
      <c r="B19" s="3" t="s">
        <v>38</v>
      </c>
      <c r="C19" s="5">
        <v>0.68166666666666653</v>
      </c>
      <c r="D19" s="5">
        <v>0.78333333333333321</v>
      </c>
      <c r="E19">
        <f t="shared" si="0"/>
        <v>-0.10166666666666668</v>
      </c>
      <c r="G19" s="8">
        <f t="shared" si="0"/>
        <v>-0.10166666666666668</v>
      </c>
      <c r="P19" s="3" t="s">
        <v>28</v>
      </c>
      <c r="Q19" s="5">
        <v>0.7</v>
      </c>
      <c r="R19" s="5">
        <v>0.3</v>
      </c>
      <c r="S19" s="5">
        <v>0</v>
      </c>
      <c r="T19" s="5">
        <v>0.5</v>
      </c>
    </row>
    <row r="20" spans="2:20" x14ac:dyDescent="0.3">
      <c r="B20" s="3" t="s">
        <v>28</v>
      </c>
      <c r="C20" s="5">
        <v>0.31266608391608364</v>
      </c>
      <c r="D20" s="5">
        <v>0.22816247158638428</v>
      </c>
      <c r="E20">
        <f t="shared" si="0"/>
        <v>8.4503612329699357E-2</v>
      </c>
      <c r="G20" s="8">
        <f t="shared" si="0"/>
        <v>8.4503612329699357E-2</v>
      </c>
      <c r="P20" s="3" t="s">
        <v>41</v>
      </c>
      <c r="Q20" s="5">
        <v>0.5</v>
      </c>
      <c r="R20" s="5">
        <v>0.3</v>
      </c>
      <c r="S20" s="5">
        <v>0</v>
      </c>
      <c r="T20" s="5">
        <v>1.5</v>
      </c>
    </row>
    <row r="21" spans="2:20" x14ac:dyDescent="0.3">
      <c r="B21" s="3" t="s">
        <v>41</v>
      </c>
      <c r="C21" s="5">
        <v>0.54988239807932859</v>
      </c>
      <c r="D21" s="5">
        <v>0.52350693637138623</v>
      </c>
      <c r="E21">
        <f t="shared" si="0"/>
        <v>2.637546170794236E-2</v>
      </c>
      <c r="G21" s="8">
        <f t="shared" si="0"/>
        <v>2.637546170794236E-2</v>
      </c>
      <c r="Q21">
        <f>SUM(Q16:Q20)</f>
        <v>3.0999999999999996</v>
      </c>
      <c r="R21">
        <f t="shared" ref="R21:T21" si="1">SUM(R16:R20)</f>
        <v>1.3</v>
      </c>
      <c r="S21">
        <f t="shared" si="1"/>
        <v>0.30000000000000004</v>
      </c>
      <c r="T21">
        <f t="shared" si="1"/>
        <v>4</v>
      </c>
    </row>
    <row r="22" spans="2:20" x14ac:dyDescent="0.3">
      <c r="B22" s="6" t="s">
        <v>52</v>
      </c>
      <c r="C22" s="7">
        <v>0.48733748702950441</v>
      </c>
      <c r="D22" s="7">
        <v>0.45547241703272107</v>
      </c>
      <c r="E22">
        <f t="shared" si="0"/>
        <v>3.1865069996783346E-2</v>
      </c>
      <c r="G22" s="8">
        <f t="shared" si="0"/>
        <v>3.1865069996783346E-2</v>
      </c>
    </row>
    <row r="25" spans="2:20" x14ac:dyDescent="0.3">
      <c r="B25" s="4" t="s">
        <v>51</v>
      </c>
    </row>
    <row r="26" spans="2:20" x14ac:dyDescent="0.3">
      <c r="B26" s="3" t="s">
        <v>41</v>
      </c>
      <c r="C26">
        <v>23</v>
      </c>
    </row>
    <row r="27" spans="2:20" x14ac:dyDescent="0.3">
      <c r="B27" s="3" t="s">
        <v>39</v>
      </c>
      <c r="C27">
        <v>22</v>
      </c>
    </row>
    <row r="28" spans="2:20" x14ac:dyDescent="0.3">
      <c r="B28" s="3" t="s">
        <v>38</v>
      </c>
      <c r="C28">
        <v>20</v>
      </c>
    </row>
    <row r="29" spans="2:20" x14ac:dyDescent="0.3">
      <c r="B29" s="3" t="s">
        <v>28</v>
      </c>
      <c r="C29">
        <v>15</v>
      </c>
    </row>
    <row r="30" spans="2:20" x14ac:dyDescent="0.3">
      <c r="B30" s="3" t="s">
        <v>17</v>
      </c>
      <c r="C30">
        <v>7</v>
      </c>
    </row>
    <row r="31" spans="2:20" x14ac:dyDescent="0.3">
      <c r="B31" s="6"/>
    </row>
  </sheetData>
  <sortState xmlns:xlrd2="http://schemas.microsoft.com/office/spreadsheetml/2017/richdata2" ref="B26:C30">
    <sortCondition descending="1" ref="C27:C30"/>
  </sortState>
  <pageMargins left="0.7" right="0.7" top="0.75" bottom="0.75" header="0.3" footer="0.3"/>
  <drawing r:id="rId4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4</vt:i4>
      </vt:variant>
    </vt:vector>
  </HeadingPairs>
  <TitlesOfParts>
    <vt:vector size="4" baseType="lpstr">
      <vt:lpstr>parse</vt:lpstr>
      <vt:lpstr>Without</vt:lpstr>
      <vt:lpstr>Tools</vt:lpstr>
      <vt:lpstr>Figures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Nikhila Gadge</dc:creator>
  <cp:lastModifiedBy>Nikhila Gadge</cp:lastModifiedBy>
  <dcterms:created xsi:type="dcterms:W3CDTF">2026-07-19T19:25:50Z</dcterms:created>
  <dcterms:modified xsi:type="dcterms:W3CDTF">2026-07-19T20:42:16Z</dcterms:modified>
</cp:coreProperties>
</file>